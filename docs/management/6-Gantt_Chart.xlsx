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an\Downloads\"/>
    </mc:Choice>
  </mc:AlternateContent>
  <xr:revisionPtr revIDLastSave="0" documentId="13_ncr:1_{076D2E23-4F2C-4759-A013-EC52F4CFAF4D}" xr6:coauthVersionLast="47" xr6:coauthVersionMax="47" xr10:uidLastSave="{00000000-0000-0000-0000-000000000000}"/>
  <bookViews>
    <workbookView xWindow="-108" yWindow="-108" windowWidth="23256" windowHeight="13176" xr2:uid="{00000000-000D-0000-FFFF-FFFF00000000}"/>
  </bookViews>
  <sheets>
    <sheet name="01 PA Overview" sheetId="1" r:id="rId1"/>
    <sheet name="02 Detailed WBS" sheetId="6" r:id="rId2"/>
    <sheet name="-Disclaimer-" sheetId="3" r:id="rId3"/>
    <sheet name="03 Dependencies" sheetId="7" r:id="rId4"/>
    <sheet name="04 Assumptions" sheetId="8" r:id="rId5"/>
    <sheet name="05 Weekly Gantt"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9" l="1"/>
  <c r="F23" i="9"/>
  <c r="F21" i="9"/>
  <c r="F20" i="9"/>
  <c r="F19" i="9"/>
  <c r="F18" i="9"/>
  <c r="F17" i="9"/>
  <c r="F16" i="9"/>
  <c r="F15" i="9"/>
  <c r="F14" i="9"/>
  <c r="F13" i="9"/>
  <c r="F12" i="9"/>
  <c r="F11" i="9"/>
  <c r="F10" i="9"/>
  <c r="F9" i="9"/>
  <c r="F8" i="9"/>
  <c r="F7" i="9"/>
  <c r="B23" i="8"/>
  <c r="C22" i="8"/>
  <c r="B22" i="8"/>
  <c r="B21" i="8"/>
  <c r="C21" i="8" s="1"/>
  <c r="B20" i="8"/>
  <c r="C20" i="8" s="1"/>
  <c r="B19" i="8"/>
  <c r="C19" i="8" s="1"/>
  <c r="B18" i="8"/>
  <c r="C18" i="8" s="1"/>
  <c r="B17" i="8"/>
  <c r="C17" i="8" s="1"/>
  <c r="B16" i="8"/>
  <c r="C16" i="8" s="1"/>
  <c r="C23" i="8" s="1"/>
  <c r="G75" i="6"/>
  <c r="G74" i="6"/>
  <c r="G73" i="6"/>
  <c r="G72" i="6"/>
  <c r="G71" i="6"/>
  <c r="G68" i="6"/>
  <c r="G67" i="6"/>
  <c r="G65" i="6"/>
  <c r="G64" i="6"/>
  <c r="G63" i="6"/>
  <c r="G62" i="6"/>
  <c r="G61" i="6"/>
  <c r="G60" i="6"/>
  <c r="G59" i="6"/>
  <c r="G58" i="6"/>
  <c r="G57" i="6"/>
  <c r="G56" i="6"/>
  <c r="G55" i="6"/>
  <c r="G54" i="6"/>
  <c r="G53" i="6"/>
  <c r="G52" i="6"/>
  <c r="G51" i="6"/>
  <c r="G49" i="6"/>
  <c r="G48" i="6"/>
  <c r="G47" i="6"/>
  <c r="G46" i="6"/>
  <c r="G45" i="6"/>
  <c r="G44" i="6"/>
  <c r="G42" i="6"/>
  <c r="G41" i="6"/>
  <c r="G40" i="6"/>
  <c r="G39" i="6"/>
  <c r="G38" i="6"/>
  <c r="G37" i="6"/>
  <c r="G36" i="6"/>
  <c r="G35" i="6"/>
  <c r="G33" i="6"/>
  <c r="G32" i="6"/>
  <c r="G31" i="6"/>
  <c r="G30" i="6"/>
  <c r="G29" i="6"/>
  <c r="G28" i="6"/>
  <c r="G27" i="6"/>
  <c r="G25" i="6"/>
  <c r="G24" i="6"/>
  <c r="G23" i="6"/>
  <c r="G22" i="6"/>
  <c r="G21" i="6"/>
  <c r="G20" i="6"/>
  <c r="G19" i="6"/>
  <c r="G18" i="6"/>
  <c r="G17" i="6"/>
  <c r="G16" i="6"/>
  <c r="G15" i="6"/>
  <c r="G14" i="6"/>
  <c r="G13" i="6"/>
  <c r="G12" i="6"/>
  <c r="G34" i="1"/>
  <c r="G33" i="1"/>
  <c r="G32" i="1"/>
  <c r="G31" i="1"/>
  <c r="G29" i="1"/>
  <c r="G28" i="1"/>
  <c r="G27" i="1"/>
  <c r="G26" i="1"/>
  <c r="G25" i="1"/>
  <c r="G24" i="1"/>
  <c r="G23" i="1"/>
  <c r="G22" i="1"/>
  <c r="G21" i="1"/>
  <c r="G20" i="1"/>
  <c r="G19" i="1"/>
  <c r="G18" i="1"/>
  <c r="G17" i="1"/>
  <c r="G16" i="1"/>
  <c r="G15" i="1"/>
  <c r="G14" i="1"/>
  <c r="G13" i="1"/>
  <c r="G12" i="1"/>
  <c r="G11" i="1"/>
</calcChain>
</file>

<file path=xl/sharedStrings.xml><?xml version="1.0" encoding="utf-8"?>
<sst xmlns="http://schemas.openxmlformats.org/spreadsheetml/2006/main" count="926" uniqueCount="313">
  <si>
    <t>Project Title</t>
  </si>
  <si>
    <t>Project Manager</t>
  </si>
  <si>
    <t>Company Name</t>
  </si>
  <si>
    <t>Date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</si>
  <si>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</si>
  <si>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SHIFTManager • PA overview + Gantt</t>
  </si>
  <si>
    <t>Factory-team shift planning | PA1–PA5</t>
  </si>
  <si>
    <t>Nguyễn Huy Hoàng (Team 6)</t>
  </si>
  <si>
    <t>HCMUS • 404NotFound</t>
  </si>
  <si>
    <t>PA1</t>
  </si>
  <si>
    <t>PA2</t>
  </si>
  <si>
    <t>PA3</t>
  </si>
  <si>
    <t>PA4</t>
  </si>
  <si>
    <t>PA5</t>
  </si>
  <si>
    <t>Final*</t>
  </si>
  <si>
    <t>05 Oct</t>
  </si>
  <si>
    <t>12 Oct</t>
  </si>
  <si>
    <t>19 Oct</t>
  </si>
  <si>
    <t>26 Oct</t>
  </si>
  <si>
    <t>02 Nov</t>
  </si>
  <si>
    <t>09 Nov</t>
  </si>
  <si>
    <t>16 Nov</t>
  </si>
  <si>
    <t>23 Nov</t>
  </si>
  <si>
    <t>30 Nov</t>
  </si>
  <si>
    <t>07 Dec</t>
  </si>
  <si>
    <t>14 Dec</t>
  </si>
  <si>
    <t>21 Dec</t>
  </si>
  <si>
    <t>W01</t>
  </si>
  <si>
    <t>W02</t>
  </si>
  <si>
    <t>W03</t>
  </si>
  <si>
    <t>W04</t>
  </si>
  <si>
    <t>W05</t>
  </si>
  <si>
    <t>W06</t>
  </si>
  <si>
    <t>W07</t>
  </si>
  <si>
    <t>W08</t>
  </si>
  <si>
    <t>W09</t>
  </si>
  <si>
    <t>W10</t>
  </si>
  <si>
    <t>W11</t>
  </si>
  <si>
    <t>W12</t>
  </si>
  <si>
    <t>WBS ID</t>
  </si>
  <si>
    <t>Work package / deliverable</t>
  </si>
  <si>
    <t>Owner</t>
  </si>
  <si>
    <t>Start date</t>
  </si>
  <si>
    <t>Finish date</t>
  </si>
  <si>
    <t>Calendar days</t>
  </si>
  <si>
    <t>% done</t>
  </si>
  <si>
    <t>M</t>
  </si>
  <si>
    <t>T</t>
  </si>
  <si>
    <t>W</t>
  </si>
  <si>
    <t>F</t>
  </si>
  <si>
    <t>1.0</t>
  </si>
  <si>
    <t>PA1 • Vision and planning</t>
  </si>
  <si>
    <t>Team</t>
  </si>
  <si>
    <t>1.5.1</t>
  </si>
  <si>
    <t>◆ PA1 phase gate • Submit 20 Oct</t>
  </si>
  <si>
    <t>Hoàng</t>
  </si>
  <si>
    <t>2.0</t>
  </si>
  <si>
    <t>PA2 • Requirements + use cases</t>
  </si>
  <si>
    <t>2.4.1</t>
  </si>
  <si>
    <t>◆ PA2 phase gate • Submit 03 Nov</t>
  </si>
  <si>
    <t>3.0</t>
  </si>
  <si>
    <t>PA3 • Architecture and design</t>
  </si>
  <si>
    <t>3.5.1</t>
  </si>
  <si>
    <t>◆ PA3 phase gate • Submit 17 Nov</t>
  </si>
  <si>
    <t>Phúc</t>
  </si>
  <si>
    <t>4.0</t>
  </si>
  <si>
    <t>PA4 • Test planning &amp; traceability</t>
  </si>
  <si>
    <t>4.4.1</t>
  </si>
  <si>
    <t>◆ PA4 phase gate • Submit 01 Dec</t>
  </si>
  <si>
    <t>5.1</t>
  </si>
  <si>
    <t>PA5 • Setup and data foundation</t>
  </si>
  <si>
    <t>Minh / Phúc</t>
  </si>
  <si>
    <t>5.2</t>
  </si>
  <si>
    <t>PA5 • Auth / scheduling / rosters</t>
  </si>
  <si>
    <t>Hoàng / Phúc / Minh</t>
  </si>
  <si>
    <t>5.3</t>
  </si>
  <si>
    <t>PA5 • Absence and shift coverage</t>
  </si>
  <si>
    <t>Hoàng / Phúc</t>
  </si>
  <si>
    <t>5.4</t>
  </si>
  <si>
    <t>PA5 • Test automation and review</t>
  </si>
  <si>
    <t>Minh / Trí</t>
  </si>
  <si>
    <t>5.5</t>
  </si>
  <si>
    <t>PA5 • Deploy / final package</t>
  </si>
  <si>
    <t>Trí / Minh</t>
  </si>
  <si>
    <t>5.5.1</t>
  </si>
  <si>
    <t>◆ PA5 phase gate • Submit 15 Dec</t>
  </si>
  <si>
    <t>Trí</t>
  </si>
  <si>
    <t>6.1</t>
  </si>
  <si>
    <t>Final • Slides and rehearsal (tentative)</t>
  </si>
  <si>
    <t>6.2.1</t>
  </si>
  <si>
    <t>◆ Final presentation • Date TBD</t>
  </si>
  <si>
    <t>7.1</t>
  </si>
  <si>
    <t>Weekly reports / meetings</t>
  </si>
  <si>
    <t>7.2</t>
  </si>
  <si>
    <t>Project control / issue &amp; PR review</t>
  </si>
  <si>
    <t>READ ME</t>
  </si>
  <si>
    <t>All task dates are DRAFT proposals.</t>
  </si>
  <si>
    <t>CP</t>
  </si>
  <si>
    <t>◆ Red = fixed PA gate.</t>
  </si>
  <si>
    <t>NOTE</t>
  </si>
  <si>
    <t>Final due date TBD.</t>
  </si>
  <si>
    <t>SHIFTManager • Detailed WBS Gantt</t>
  </si>
  <si>
    <t>58 WBS work packages / 351 person-hours</t>
  </si>
  <si>
    <t>PA1 • Initiation &amp; planning</t>
  </si>
  <si>
    <t>1.1.1</t>
  </si>
  <si>
    <t>Preliminary Problem Statement</t>
  </si>
  <si>
    <t>1.1.2</t>
  </si>
  <si>
    <t>Product Position Statement</t>
  </si>
  <si>
    <t>1.1.3</t>
  </si>
  <si>
    <t>MoSCoW priorities, scope &amp; exclusions</t>
  </si>
  <si>
    <t>1.1.4</t>
  </si>
  <si>
    <t>Stakeholders and user interests</t>
  </si>
  <si>
    <t>Minh</t>
  </si>
  <si>
    <t>1.2.1</t>
  </si>
  <si>
    <t>C4 System Context diagram</t>
  </si>
  <si>
    <t>1.2.2</t>
  </si>
  <si>
    <t>Technology stack and operating environment</t>
  </si>
  <si>
    <t>1.3.1</t>
  </si>
  <si>
    <t>Phase gates, exit criteria, roles</t>
  </si>
  <si>
    <t>1.3.2</t>
  </si>
  <si>
    <t>Three-level WBS for whole project</t>
  </si>
  <si>
    <t>1.3.3</t>
  </si>
  <si>
    <t>Estimate work-package person-hours</t>
  </si>
  <si>
    <t>1.3.4</t>
  </si>
  <si>
    <t>Gantt schedule, dependencies &amp; critical path</t>
  </si>
  <si>
    <t>1.3.5</t>
  </si>
  <si>
    <t>Human resources and project cost</t>
  </si>
  <si>
    <t>1.4.1</t>
  </si>
  <si>
    <t>Risk register, RE, mitigation and owners</t>
  </si>
  <si>
    <t>1.4.2</t>
  </si>
  <si>
    <t>Repo, board, comms and access evidence</t>
  </si>
  <si>
    <t>◆ Final review, contribution, AI log, export</t>
  </si>
  <si>
    <t>PA2 • Requirements</t>
  </si>
  <si>
    <t>2.1.1</t>
  </si>
  <si>
    <t>Functional requirements F01–F04 (FRs)</t>
  </si>
  <si>
    <t>2.1.2</t>
  </si>
  <si>
    <t>NFRs, business rules &amp; acceptance criteria</t>
  </si>
  <si>
    <t>2.2.1</t>
  </si>
  <si>
    <t>Actors, Use Case diagram</t>
  </si>
  <si>
    <t>2.2.2</t>
  </si>
  <si>
    <t>Use Case specifications incl exceptions</t>
  </si>
  <si>
    <t>2.3.1</t>
  </si>
  <si>
    <t>UI mockups and screen flows</t>
  </si>
  <si>
    <t>2.3.2</t>
  </si>
  <si>
    <t>Traceability and review issue log</t>
  </si>
  <si>
    <t>◆ SRS final review, contribution, AI log</t>
  </si>
  <si>
    <t>PA3 • Design</t>
  </si>
  <si>
    <t>3.1.1</t>
  </si>
  <si>
    <t>C4 Container, Component, Deployment</t>
  </si>
  <si>
    <t>3.1.2</t>
  </si>
  <si>
    <t>At least 3 ADRs with justification</t>
  </si>
  <si>
    <t>3.2.1</t>
  </si>
  <si>
    <t>Class diagram &amp; class specs</t>
  </si>
  <si>
    <t>3.2.2</t>
  </si>
  <si>
    <t>Sequence &amp; State diagrams</t>
  </si>
  <si>
    <t>3.3.1</t>
  </si>
  <si>
    <t>ERD and normalized schema</t>
  </si>
  <si>
    <t>3.3.2</t>
  </si>
  <si>
    <t>Constraints, table specs &amp; indexes</t>
  </si>
  <si>
    <t>3.4.1</t>
  </si>
  <si>
    <t>Screen specs, flow, accessibility checklist</t>
  </si>
  <si>
    <t>◆ Design/SRS traceability review &amp; finalize PA3</t>
  </si>
  <si>
    <t>PA4 • Test planning</t>
  </si>
  <si>
    <t>4.1.1</t>
  </si>
  <si>
    <t>Test Plan, environment, entry/exit, defect process</t>
  </si>
  <si>
    <t>4.2.1</t>
  </si>
  <si>
    <t>Equivalence Partitioning and BVA design</t>
  </si>
  <si>
    <t>4.2.2</t>
  </si>
  <si>
    <t>Decision tables for scheduling and absence/coverage rules</t>
  </si>
  <si>
    <t>4.3.1</t>
  </si>
  <si>
    <t>Detailed test cases for F01–F04</t>
  </si>
  <si>
    <t>4.3.2</t>
  </si>
  <si>
    <t>Requirements–test traceability review</t>
  </si>
  <si>
    <t>◆ Final test plan review, contribution &amp; AI log</t>
  </si>
  <si>
    <t>5.0</t>
  </si>
  <si>
    <t>PA5 • Implementation &amp; testing</t>
  </si>
  <si>
    <t>5.1.1</t>
  </si>
  <si>
    <t>Create React/Express project and local dev config</t>
  </si>
  <si>
    <t>5.1.2</t>
  </si>
  <si>
    <t>Supabase schema, migrations, employee profiles, skills, availability, shift data and test data</t>
  </si>
  <si>
    <t>5.2.1</t>
  </si>
  <si>
    <t>Supabase Auth, JWT verification and Employee/Manager/Boss authorization (F01)</t>
  </si>
  <si>
    <t>5.2.2</t>
  </si>
  <si>
    <t>Constraint-based automatic scheduling and fairness scoring (F02)</t>
  </si>
  <si>
    <t>5.2.3</t>
  </si>
  <si>
    <t>Published roster, change indicators, acknowledgement and Boss overview (F03)</t>
  </si>
  <si>
    <t>5.2.4</t>
  </si>
  <si>
    <t>Manager roster preview, manual adjustment and publishing (F02)</t>
  </si>
  <si>
    <t>5.3.1</t>
  </si>
  <si>
    <t>Employee absence submission and manager no-show recording (F04)</t>
  </si>
  <si>
    <t>5.3.2</t>
  </si>
  <si>
    <t>Replacement eligibility checks and substitute acceptance (F04)</t>
  </si>
  <si>
    <t>5.3.3</t>
  </si>
  <si>
    <t>Manager coverage decision and consistent roster update (F04)</t>
  </si>
  <si>
    <t>5.3.4</t>
  </si>
  <si>
    <t>Integrate absence/coverage workflow UI with REST API (F04)</t>
  </si>
  <si>
    <t>5.4.1</t>
  </si>
  <si>
    <t>Unit tests and coverage report</t>
  </si>
  <si>
    <t>5.4.2</t>
  </si>
  <si>
    <t>Automated cases (2 use cases × 2 scenarios), PR CI</t>
  </si>
  <si>
    <t>5.4.3</t>
  </si>
  <si>
    <t>Test execution, defect fixes and PR reviews</t>
  </si>
  <si>
    <t>◆ Deploy and verify live demo</t>
  </si>
  <si>
    <t>5.5.2</t>
  </si>
  <si>
    <t>Demo video, implementation report, retrospective</t>
  </si>
  <si>
    <t>6.0</t>
  </si>
  <si>
    <t>Final • Preparation (date TBD)</t>
  </si>
  <si>
    <t>6.1.1</t>
  </si>
  <si>
    <t>Prepare slides and project summary</t>
  </si>
  <si>
    <t>6.1.2</t>
  </si>
  <si>
    <t>Demo script + practice all speakers</t>
  </si>
  <si>
    <t>Final demo and presentation</t>
  </si>
  <si>
    <t>7.0</t>
  </si>
  <si>
    <t>Continuous project management</t>
  </si>
  <si>
    <t>7.1.1</t>
  </si>
  <si>
    <t>Weekly status meetings W02–W10</t>
  </si>
  <si>
    <t>7.1.2</t>
  </si>
  <si>
    <t>Weekly Status Report W03</t>
  </si>
  <si>
    <t>7.1.3</t>
  </si>
  <si>
    <t>Weekly reports W02 and W04–W10 (8 reports)</t>
  </si>
  <si>
    <t>7.2.1</t>
  </si>
  <si>
    <t>Maintain GitHub task board</t>
  </si>
  <si>
    <t>7.2.2</t>
  </si>
  <si>
    <t>Git/PR reviews, risks, baselines, change records</t>
  </si>
  <si>
    <t>SHIFTManager | Proposed dependencies and phase-gate critical sequence</t>
  </si>
  <si>
    <t>Source: PA1-ProjectProposal-Plan(3).docx • WBS/effort; start/finish and predecessors are planning proposals, not approved facts.</t>
  </si>
  <si>
    <t>Critical = phase-gate sequence only; complete task-level CPM and resource leveling require team validation.</t>
  </si>
  <si>
    <t>Work package</t>
  </si>
  <si>
    <t>PA/Stream</t>
  </si>
  <si>
    <t>Effort (h)</t>
  </si>
  <si>
    <t>Predecessors (proposed)</t>
  </si>
  <si>
    <t>Start (draft)</t>
  </si>
  <si>
    <t>Finish (draft)</t>
  </si>
  <si>
    <t>Critical gate</t>
  </si>
  <si>
    <t>—</t>
  </si>
  <si>
    <t>1.3.2, 1.3.3</t>
  </si>
  <si>
    <t>Final review, contribution, AI log, export</t>
  </si>
  <si>
    <t>1.1.3, 1.2.1, 1.3.4, 1.3.5, 1.4.1, 1.4.2</t>
  </si>
  <si>
    <t>YES</t>
  </si>
  <si>
    <t>2.2.2, 2.3.1</t>
  </si>
  <si>
    <t>SRS final review, contribution, AI log</t>
  </si>
  <si>
    <t>2.1.2, 2.2.2, 2.3.2</t>
  </si>
  <si>
    <t>Design/SRS traceability review &amp; finalize PA3</t>
  </si>
  <si>
    <t>3.1.2, 3.2.2, 3.3.2, 3.4.1</t>
  </si>
  <si>
    <t>4.2.1, 4.2.2</t>
  </si>
  <si>
    <t>Final test plan review, contribution &amp; AI log</t>
  </si>
  <si>
    <t>4.3.1, 4.3.2</t>
  </si>
  <si>
    <t>5.1.1, 5.1.2</t>
  </si>
  <si>
    <t>5.2.1, 5.2.2</t>
  </si>
  <si>
    <t>5.2.2, 5.2.1</t>
  </si>
  <si>
    <t>5.3.2, 5.2.4</t>
  </si>
  <si>
    <t>5.3.1, 5.3.2</t>
  </si>
  <si>
    <t>5.2.3, 5.3.3, 5.3.4, 5.4.1, 5.4.2</t>
  </si>
  <si>
    <t>Deploy and verify live demo</t>
  </si>
  <si>
    <t>5.4.3, 5.5.1</t>
  </si>
  <si>
    <t>Final</t>
  </si>
  <si>
    <t>Mgmt</t>
  </si>
  <si>
    <t>PHASE-GATE CHAIN</t>
  </si>
  <si>
    <t>Gate WBS</t>
  </si>
  <si>
    <t>Submission</t>
  </si>
  <si>
    <t>Due (fixed)</t>
  </si>
  <si>
    <t>Predecessor gate</t>
  </si>
  <si>
    <t>Gate-level critical?</t>
  </si>
  <si>
    <t>Reference</t>
  </si>
  <si>
    <t>◆ PA submission</t>
  </si>
  <si>
    <t>Start / initial work</t>
  </si>
  <si>
    <t>Fixed team deadline</t>
  </si>
  <si>
    <t>Proposed gate chain: PA1 → PA2 → PA3 → PA4 → PA5; Final presentation date remains TBD.</t>
  </si>
  <si>
    <t>SHIFTManager | Timeline assumptions, scope and effort check</t>
  </si>
  <si>
    <t>Planning input</t>
  </si>
  <si>
    <t>Value</t>
  </si>
  <si>
    <t>PA1 due</t>
  </si>
  <si>
    <t>PA2 due</t>
  </si>
  <si>
    <t>PA3 due</t>
  </si>
  <si>
    <t>PA4 due</t>
  </si>
  <si>
    <t>PA5 due</t>
  </si>
  <si>
    <t>Final presentation date</t>
  </si>
  <si>
    <t>TBD – do not treat draft prep as official due date</t>
  </si>
  <si>
    <t>Timeline shown</t>
  </si>
  <si>
    <t>Mon–Fri, 05 Oct – 25 Dec 2026 (12 weeks)</t>
  </si>
  <si>
    <t>Date validity</t>
  </si>
  <si>
    <t>PA deadlines supplied by the team; task dates proposed, not approved</t>
  </si>
  <si>
    <t>Dependency validity</t>
  </si>
  <si>
    <t>Predecessors are a planning draft; overlapping tasks may exchange partial drafts</t>
  </si>
  <si>
    <t>Effort (person-h)</t>
  </si>
  <si>
    <t>Share of total</t>
  </si>
  <si>
    <t>Capacity assumption</t>
  </si>
  <si>
    <t>Action</t>
  </si>
  <si>
    <t>Retrospective plan – validate actual work dates</t>
  </si>
  <si>
    <t>Two-week gate, proposed dates</t>
  </si>
  <si>
    <t>Provisional: 4 people × 16 h/week × 2 weeks = 128h</t>
  </si>
  <si>
    <t>131 hours across four members in two weeks – capacity check needed</t>
  </si>
  <si>
    <t>Final due date TBD; prep dates tentative</t>
  </si>
  <si>
    <t>Continuous workload spread across PA1–PA5</t>
  </si>
  <si>
    <t>TOTAL</t>
  </si>
  <si>
    <t>Important scope note</t>
  </si>
  <si>
    <t>F01 authentication/roles, F02 automatic scheduling, F03 roster acknowledgement, F04 absence/coverage.</t>
  </si>
  <si>
    <t>C4 initial diagram may be revised in later PAs according to TA; this Gantt uses the current four-feature scope.</t>
  </si>
  <si>
    <t>Planned task dates are recommendations generated for the team, not historic evidence or contractual due dates.</t>
  </si>
  <si>
    <t>Calendar dates exclude weekend work, but do not model public holidays, personal availability or strict resource levelling.</t>
  </si>
  <si>
    <t>Only phase-gate critical chain is identified; task-level critical path must be verified by Trí with dependencies and duration.</t>
  </si>
  <si>
    <t>Project work packages / hours from user-supplied PA1 (3).docx; official template structure from uploaded workbook.</t>
  </si>
  <si>
    <t>SHIFTManager | 12-week project Gantt overview</t>
  </si>
  <si>
    <t>Scope: F01 Auth • F02 Auto schedule • F03 Roster • F04 Absence | source: PA1 (3)</t>
  </si>
  <si>
    <t>Draft work-package dates; official PA due dates fixed by team. Red marks phase submissions. Final due TBD.</t>
  </si>
  <si>
    <t>WBS</t>
  </si>
  <si>
    <t>Workstream / milestone</t>
  </si>
  <si>
    <t>Start</t>
  </si>
  <si>
    <t>Due</t>
  </si>
  <si>
    <t>Duration (days)</t>
  </si>
  <si>
    <t>Critical chain (phase gates): 1.5.1 → 2.4.1 → 3.5.1 → 4.4.1 → 5.5.1 (task-level CPM pending review).</t>
  </si>
  <si>
    <t>* Final presentation date TBD; week-to-week resource feasibility, dependencies and task dates are still proposed.</t>
  </si>
  <si>
    <t>PA0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</si>
</sst>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
    <numFmt numFmtId="165" formatCode="mm/dd/yyyy"/>
    <numFmt numFmtId="166" formatCode="dd\ mmm\ yyyy"/>
    <numFmt numFmtId="167" formatCode="dd"/>
    <numFmt numFmtId="168" formatCode="dd\ mmm"/>
    <numFmt numFmtId="169" formatCode="0.0%"/>
  </numFmts>
  <fonts count="34" x14ac:knownFonts="1">
    <font>
      <sz val="12"/>
      <color theme="1"/>
      <name val="Corbel"/>
    </font>
    <font>
      <sz val="12"/>
      <color theme="1"/>
      <name val="Corbel"/>
    </font>
    <font>
      <b/>
      <sz val="10"/>
      <color theme="4" tint="-0.249977111117893"/>
      <name val="Century Gothic"/>
    </font>
    <font>
      <sz val="10"/>
      <color theme="1"/>
      <name val="Century Gothic"/>
    </font>
    <font>
      <b/>
      <sz val="10"/>
      <color theme="0"/>
      <name val="Century Gothic"/>
    </font>
    <font>
      <b/>
      <sz val="10"/>
      <color theme="1"/>
      <name val="Century Gothic"/>
    </font>
    <font>
      <sz val="11"/>
      <color theme="1"/>
      <name val="Corbel"/>
    </font>
    <font>
      <sz val="12"/>
      <color theme="1"/>
      <name val="Arial"/>
    </font>
    <font>
      <sz val="12"/>
      <color theme="10"/>
      <name val="Corbel"/>
    </font>
    <font>
      <b/>
      <sz val="22"/>
      <color theme="0"/>
      <name val="Century Gothic"/>
    </font>
    <font>
      <b/>
      <sz val="10"/>
      <name val="Century Gothic"/>
    </font>
    <font>
      <b/>
      <sz val="24"/>
      <color rgb="FF001033"/>
      <name val="Century Gothic"/>
    </font>
    <font>
      <b/>
      <sz val="22"/>
      <color theme="0"/>
      <name val="Century Gothic"/>
    </font>
    <font>
      <b/>
      <sz val="10"/>
      <color rgb="FFFFFFFF"/>
      <name val="Century Gothic"/>
    </font>
    <font>
      <b/>
      <sz val="10"/>
      <color rgb="FF153C65"/>
      <name val="Century Gothic"/>
    </font>
    <font>
      <sz val="12"/>
      <color rgb="FF153C65"/>
      <name val="Corbel"/>
    </font>
    <font>
      <b/>
      <sz val="12"/>
      <color rgb="FF153C65"/>
      <name val="Corbel"/>
    </font>
    <font>
      <sz val="10"/>
      <color rgb="FF153C65"/>
      <name val="Century Gothic"/>
    </font>
    <font>
      <b/>
      <sz val="10"/>
      <color rgb="FFA3213D"/>
      <name val="Century Gothic"/>
    </font>
    <font>
      <b/>
      <sz val="10"/>
      <color rgb="FFB02A4F"/>
      <name val="Century Gothic"/>
    </font>
    <font>
      <b/>
      <sz val="12"/>
      <color rgb="FFFFFFFF"/>
      <name val="Corbel"/>
    </font>
    <font>
      <b/>
      <sz val="12"/>
      <color theme="1"/>
      <name val="Corbel"/>
    </font>
    <font>
      <b/>
      <sz val="12"/>
      <color rgb="FFB02A4F"/>
      <name val="Corbel"/>
    </font>
    <font>
      <b/>
      <sz val="15"/>
      <color rgb="FFFFFFFF"/>
      <name val="Corbel"/>
    </font>
    <font>
      <sz val="12"/>
      <color rgb="FFA3213D"/>
      <name val="Corbel"/>
    </font>
    <font>
      <b/>
      <sz val="16"/>
      <color rgb="FFFFFFFF"/>
      <name val="Corbel"/>
    </font>
    <font>
      <sz val="12"/>
      <color rgb="FF9D3549"/>
      <name val="Corbel"/>
    </font>
    <font>
      <b/>
      <sz val="12"/>
      <color rgb="FFA3213D"/>
      <name val="Corbel"/>
    </font>
    <font>
      <b/>
      <sz val="10"/>
      <color rgb="FFFF0000"/>
      <name val="Century Gothic"/>
      <family val="2"/>
    </font>
    <font>
      <b/>
      <sz val="10"/>
      <name val="Century Gothic"/>
      <family val="2"/>
    </font>
    <font>
      <b/>
      <sz val="10"/>
      <color rgb="FF153C65"/>
      <name val="Corbel"/>
      <family val="2"/>
    </font>
    <font>
      <b/>
      <sz val="10"/>
      <color rgb="FFFFFFFF"/>
      <name val="Corbel"/>
      <family val="2"/>
    </font>
    <font>
      <b/>
      <sz val="10"/>
      <color rgb="FF153C65"/>
      <name val="Century Gothic"/>
      <family val="2"/>
    </font>
    <font>
      <sz val="10"/>
      <name val="Century Gothic"/>
      <family val="2"/>
    </font>
  </fonts>
  <fills count="33">
    <fill>
      <patternFill patternType="none"/>
    </fill>
    <fill>
      <patternFill patternType="gray125"/>
    </fill>
    <fill>
      <patternFill patternType="solid">
        <fgColor theme="4" tint="-0.49995422223578601"/>
        <bgColor indexed="65"/>
      </patternFill>
    </fill>
    <fill>
      <patternFill patternType="solid">
        <fgColor theme="5" tint="-0.49995422223578601"/>
        <bgColor indexed="65"/>
      </patternFill>
    </fill>
    <fill>
      <patternFill patternType="solid">
        <fgColor theme="6" tint="-0.49995422223578601"/>
        <bgColor indexed="65"/>
      </patternFill>
    </fill>
    <fill>
      <patternFill patternType="solid">
        <fgColor theme="7" tint="-0.49995422223578601"/>
        <bgColor indexed="65"/>
      </patternFill>
    </fill>
    <fill>
      <patternFill patternType="solid">
        <fgColor theme="0" tint="-0.14999847407452621"/>
        <bgColor indexed="65"/>
      </patternFill>
    </fill>
    <fill>
      <patternFill patternType="solid">
        <fgColor theme="0"/>
      </patternFill>
    </fill>
    <fill>
      <patternFill patternType="solid">
        <fgColor theme="3" tint="0.79995117038483843"/>
        <bgColor indexed="65"/>
      </patternFill>
    </fill>
    <fill>
      <patternFill patternType="solid">
        <fgColor rgb="FF40B14B"/>
      </patternFill>
    </fill>
    <fill>
      <patternFill patternType="solid">
        <fgColor theme="4" tint="0.39997558519241921"/>
        <bgColor indexed="65"/>
      </patternFill>
    </fill>
    <fill>
      <patternFill patternType="solid">
        <fgColor rgb="FFFFFFFF"/>
      </patternFill>
    </fill>
    <fill>
      <patternFill patternType="solid">
        <fgColor rgb="FF146DA9"/>
      </patternFill>
    </fill>
    <fill>
      <patternFill patternType="solid">
        <fgColor rgb="FFEAF3F9"/>
      </patternFill>
    </fill>
    <fill>
      <patternFill patternType="solid">
        <fgColor rgb="FFE7EEF5"/>
      </patternFill>
    </fill>
    <fill>
      <patternFill patternType="solid">
        <fgColor rgb="FFF0F6FA"/>
      </patternFill>
    </fill>
    <fill>
      <patternFill patternType="solid">
        <fgColor rgb="FFFDE7EC"/>
      </patternFill>
    </fill>
    <fill>
      <patternFill patternType="solid">
        <fgColor rgb="FF153C65"/>
      </patternFill>
    </fill>
    <fill>
      <patternFill patternType="solid">
        <fgColor rgb="FFE9EFF7"/>
      </patternFill>
    </fill>
    <fill>
      <patternFill patternType="solid">
        <fgColor rgb="FFF1F6FB"/>
      </patternFill>
    </fill>
    <fill>
      <patternFill patternType="solid">
        <fgColor rgb="FFFFF2D5"/>
      </patternFill>
    </fill>
    <fill>
      <patternFill patternType="solid">
        <fgColor rgb="FFF2F6FB"/>
      </patternFill>
    </fill>
    <fill>
      <patternFill patternType="solid">
        <fgColor rgb="FFFFE4EA"/>
      </patternFill>
    </fill>
    <fill>
      <patternFill patternType="solid">
        <fgColor rgb="FFDCEAF7"/>
      </patternFill>
    </fill>
    <fill>
      <patternFill patternType="solid">
        <fgColor rgb="FFF4F7FB"/>
      </patternFill>
    </fill>
    <fill>
      <patternFill patternType="solid">
        <fgColor rgb="FFFDE9EF"/>
      </patternFill>
    </fill>
    <fill>
      <patternFill patternType="solid">
        <fgColor theme="0" tint="-0.249977111117893"/>
        <bgColor indexed="64"/>
      </patternFill>
    </fill>
    <fill>
      <patternFill patternType="solid">
        <fgColor theme="2"/>
        <bgColor indexed="64"/>
      </patternFill>
    </fill>
    <fill>
      <patternFill patternType="solid">
        <fgColor theme="3" tint="0.39997558519241921"/>
        <bgColor indexed="64"/>
      </patternFill>
    </fill>
    <fill>
      <patternFill patternType="solid">
        <fgColor theme="5" tint="-0.49998474074526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7" tint="-0.24997711111789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
    <xf numFmtId="0" fontId="0" fillId="0" borderId="0"/>
    <xf numFmtId="9" fontId="1" fillId="0" borderId="0" applyFont="0" applyFill="0" applyBorder="0" applyAlignment="0" applyProtection="0"/>
    <xf numFmtId="0" fontId="6" fillId="0" borderId="0"/>
    <xf numFmtId="0" fontId="8" fillId="0" borderId="0" applyNumberFormat="0" applyFill="0" applyBorder="0" applyAlignment="0" applyProtection="0"/>
  </cellStyleXfs>
  <cellXfs count="177">
    <xf numFmtId="0" fontId="0" fillId="0" borderId="0" xfId="0"/>
    <xf numFmtId="0" fontId="2"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wrapText="1"/>
    </xf>
    <xf numFmtId="1" fontId="3" fillId="6" borderId="2" xfId="0" applyNumberFormat="1" applyFont="1" applyFill="1" applyBorder="1" applyAlignment="1">
      <alignment horizontal="center" vertical="center" wrapText="1"/>
    </xf>
    <xf numFmtId="9" fontId="5" fillId="6" borderId="2" xfId="1" applyFont="1" applyFill="1" applyBorder="1" applyAlignment="1">
      <alignment horizontal="center" vertical="center" wrapText="1"/>
    </xf>
    <xf numFmtId="1" fontId="3" fillId="0" borderId="1" xfId="0" applyNumberFormat="1" applyFont="1" applyBorder="1" applyAlignment="1">
      <alignment horizontal="center" vertical="center" wrapText="1"/>
    </xf>
    <xf numFmtId="9" fontId="5" fillId="0" borderId="1" xfId="1" applyFont="1" applyBorder="1" applyAlignment="1">
      <alignment horizontal="center" vertical="center" wrapText="1"/>
    </xf>
    <xf numFmtId="0" fontId="3" fillId="7" borderId="0" xfId="0" applyFont="1" applyFill="1" applyAlignment="1">
      <alignment wrapText="1"/>
    </xf>
    <xf numFmtId="0" fontId="3" fillId="0" borderId="1" xfId="0" applyFont="1" applyBorder="1" applyAlignment="1">
      <alignment horizontal="left" vertical="center" wrapText="1"/>
    </xf>
    <xf numFmtId="0" fontId="3" fillId="6" borderId="2" xfId="0" applyFont="1" applyFill="1" applyBorder="1" applyAlignment="1">
      <alignment horizontal="left" vertical="center" wrapText="1"/>
    </xf>
    <xf numFmtId="0" fontId="3" fillId="6" borderId="1" xfId="0" applyFont="1" applyFill="1" applyBorder="1" applyAlignment="1">
      <alignment horizontal="left" vertical="center" wrapText="1"/>
    </xf>
    <xf numFmtId="49" fontId="3" fillId="8" borderId="2" xfId="0" applyNumberFormat="1" applyFont="1" applyFill="1" applyBorder="1" applyAlignment="1">
      <alignment horizontal="left" vertical="center" wrapText="1"/>
    </xf>
    <xf numFmtId="49" fontId="3" fillId="8" borderId="1" xfId="0" applyNumberFormat="1" applyFont="1" applyFill="1" applyBorder="1" applyAlignment="1">
      <alignment horizontal="left" vertical="center" wrapText="1"/>
    </xf>
    <xf numFmtId="0" fontId="7" fillId="0" borderId="8" xfId="2" applyFont="1" applyBorder="1" applyAlignment="1">
      <alignment horizontal="left" vertical="center" wrapText="1"/>
    </xf>
    <xf numFmtId="0" fontId="6" fillId="0" borderId="0" xfId="2"/>
    <xf numFmtId="0" fontId="2" fillId="0" borderId="0" xfId="0" applyFont="1" applyAlignment="1">
      <alignment horizontal="left" vertical="center"/>
    </xf>
    <xf numFmtId="0" fontId="3" fillId="0" borderId="0" xfId="0" applyFont="1"/>
    <xf numFmtId="0" fontId="10" fillId="10" borderId="1" xfId="0" applyFont="1" applyFill="1" applyBorder="1" applyAlignment="1">
      <alignment horizontal="left" vertical="center" wrapText="1"/>
    </xf>
    <xf numFmtId="164" fontId="3" fillId="6" borderId="2" xfId="0"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10" fillId="7" borderId="0" xfId="0" applyFont="1" applyFill="1" applyAlignment="1">
      <alignment horizontal="center" vertical="center" wrapText="1"/>
    </xf>
    <xf numFmtId="0" fontId="11" fillId="7" borderId="0" xfId="0" applyFont="1" applyFill="1" applyAlignment="1">
      <alignment vertical="center"/>
    </xf>
    <xf numFmtId="0" fontId="12" fillId="9" borderId="0" xfId="3" applyFont="1" applyFill="1" applyAlignment="1">
      <alignment horizontal="center" vertical="center"/>
    </xf>
    <xf numFmtId="0" fontId="3" fillId="11" borderId="1" xfId="0" applyFont="1" applyFill="1" applyBorder="1" applyAlignment="1">
      <alignment wrapText="1"/>
    </xf>
    <xf numFmtId="0" fontId="0" fillId="11" borderId="0" xfId="0" applyFill="1"/>
    <xf numFmtId="0" fontId="9" fillId="11" borderId="0" xfId="0" applyFont="1" applyFill="1" applyAlignment="1">
      <alignment horizontal="center" vertical="center"/>
    </xf>
    <xf numFmtId="0" fontId="13" fillId="12" borderId="0" xfId="0" applyFont="1" applyFill="1" applyAlignment="1">
      <alignment horizontal="center" wrapText="1"/>
    </xf>
    <xf numFmtId="0" fontId="4" fillId="13" borderId="5" xfId="0" applyFont="1" applyFill="1" applyBorder="1" applyAlignment="1">
      <alignment horizontal="center" vertical="center"/>
    </xf>
    <xf numFmtId="0" fontId="4" fillId="13" borderId="4" xfId="0" applyFont="1" applyFill="1" applyBorder="1" applyAlignment="1">
      <alignment horizontal="center" vertical="center"/>
    </xf>
    <xf numFmtId="0" fontId="4" fillId="13" borderId="3" xfId="0" applyFont="1" applyFill="1" applyBorder="1" applyAlignment="1">
      <alignment horizontal="center" vertical="center"/>
    </xf>
    <xf numFmtId="167" fontId="14" fillId="14" borderId="6" xfId="0" applyNumberFormat="1" applyFont="1" applyFill="1" applyBorder="1" applyAlignment="1">
      <alignment horizontal="center" vertical="center" wrapText="1"/>
    </xf>
    <xf numFmtId="167" fontId="14" fillId="14" borderId="2" xfId="0" applyNumberFormat="1" applyFont="1" applyFill="1" applyBorder="1" applyAlignment="1">
      <alignment horizontal="center" vertical="center" wrapText="1"/>
    </xf>
    <xf numFmtId="167" fontId="14" fillId="14" borderId="1" xfId="0" applyNumberFormat="1" applyFont="1" applyFill="1" applyBorder="1" applyAlignment="1">
      <alignment horizontal="center" vertical="center" wrapText="1"/>
    </xf>
    <xf numFmtId="0" fontId="14" fillId="2" borderId="5" xfId="0" applyFont="1" applyFill="1" applyBorder="1" applyAlignment="1">
      <alignment horizontal="left" vertical="center"/>
    </xf>
    <xf numFmtId="0" fontId="14" fillId="2" borderId="4" xfId="0" applyFont="1" applyFill="1" applyBorder="1" applyAlignment="1">
      <alignment horizontal="left" vertical="center"/>
    </xf>
    <xf numFmtId="0" fontId="14" fillId="3" borderId="5" xfId="0" applyFont="1" applyFill="1" applyBorder="1" applyAlignment="1">
      <alignment horizontal="left" vertical="center"/>
    </xf>
    <xf numFmtId="0" fontId="14" fillId="3" borderId="4" xfId="0" applyFont="1" applyFill="1" applyBorder="1" applyAlignment="1">
      <alignment horizontal="left" vertical="center"/>
    </xf>
    <xf numFmtId="0" fontId="14" fillId="4" borderId="5" xfId="0" applyFont="1" applyFill="1" applyBorder="1" applyAlignment="1">
      <alignment horizontal="left" vertical="center"/>
    </xf>
    <xf numFmtId="0" fontId="14" fillId="4" borderId="4" xfId="0" applyFont="1" applyFill="1" applyBorder="1" applyAlignment="1">
      <alignment horizontal="left" vertical="center"/>
    </xf>
    <xf numFmtId="0" fontId="14" fillId="5" borderId="5" xfId="0" applyFont="1" applyFill="1" applyBorder="1" applyAlignment="1">
      <alignment horizontal="left" vertical="center"/>
    </xf>
    <xf numFmtId="0" fontId="14" fillId="5" borderId="4" xfId="0" applyFont="1" applyFill="1" applyBorder="1" applyAlignment="1">
      <alignment horizontal="left" vertical="center"/>
    </xf>
    <xf numFmtId="0" fontId="14" fillId="5" borderId="3" xfId="0" applyFont="1" applyFill="1" applyBorder="1" applyAlignment="1">
      <alignment horizontal="left" vertical="center"/>
    </xf>
    <xf numFmtId="0" fontId="16" fillId="0" borderId="0" xfId="0" applyFont="1"/>
    <xf numFmtId="0" fontId="13" fillId="12" borderId="5" xfId="0" applyFont="1" applyFill="1" applyBorder="1" applyAlignment="1">
      <alignment horizontal="center" vertical="center"/>
    </xf>
    <xf numFmtId="0" fontId="13" fillId="12" borderId="4" xfId="0" applyFont="1" applyFill="1" applyBorder="1" applyAlignment="1">
      <alignment horizontal="center" vertical="center"/>
    </xf>
    <xf numFmtId="0" fontId="13" fillId="12" borderId="3" xfId="0" applyFont="1" applyFill="1" applyBorder="1" applyAlignment="1">
      <alignment horizontal="center" vertical="center"/>
    </xf>
    <xf numFmtId="0" fontId="5" fillId="13" borderId="6"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5" fillId="13" borderId="1" xfId="0" applyFont="1" applyFill="1" applyBorder="1" applyAlignment="1">
      <alignment horizontal="center" vertical="center" wrapText="1"/>
    </xf>
    <xf numFmtId="167" fontId="17" fillId="14" borderId="1" xfId="0" applyNumberFormat="1" applyFont="1" applyFill="1" applyBorder="1" applyAlignment="1">
      <alignment horizontal="center" wrapText="1"/>
    </xf>
    <xf numFmtId="0" fontId="14" fillId="0" borderId="0" xfId="0" applyFont="1" applyAlignment="1">
      <alignment wrapText="1"/>
    </xf>
    <xf numFmtId="168" fontId="3" fillId="0" borderId="1" xfId="0" applyNumberFormat="1" applyFont="1" applyBorder="1" applyAlignment="1">
      <alignment horizontal="center" vertical="center" wrapText="1"/>
    </xf>
    <xf numFmtId="0" fontId="3" fillId="15" borderId="1" xfId="0" applyFont="1" applyFill="1" applyBorder="1" applyAlignment="1">
      <alignment horizontal="left" vertical="center" wrapText="1"/>
    </xf>
    <xf numFmtId="168" fontId="3" fillId="15" borderId="1" xfId="0" applyNumberFormat="1" applyFont="1" applyFill="1" applyBorder="1" applyAlignment="1">
      <alignment horizontal="center" vertical="center" wrapText="1"/>
    </xf>
    <xf numFmtId="1" fontId="3" fillId="15" borderId="1" xfId="0" applyNumberFormat="1" applyFont="1" applyFill="1" applyBorder="1" applyAlignment="1">
      <alignment horizontal="center" vertical="center" wrapText="1"/>
    </xf>
    <xf numFmtId="9" fontId="5" fillId="15" borderId="1" xfId="0" applyNumberFormat="1" applyFont="1" applyFill="1" applyBorder="1" applyAlignment="1">
      <alignment horizontal="center" vertical="center" wrapText="1"/>
    </xf>
    <xf numFmtId="0" fontId="3" fillId="16" borderId="1" xfId="0" applyFont="1" applyFill="1" applyBorder="1" applyAlignment="1">
      <alignment horizontal="left" vertical="center" wrapText="1"/>
    </xf>
    <xf numFmtId="168" fontId="3" fillId="16" borderId="1" xfId="0" applyNumberFormat="1" applyFont="1" applyFill="1" applyBorder="1" applyAlignment="1">
      <alignment horizontal="center" vertical="center" wrapText="1"/>
    </xf>
    <xf numFmtId="1" fontId="3" fillId="16" borderId="1" xfId="0" applyNumberFormat="1" applyFont="1" applyFill="1" applyBorder="1" applyAlignment="1">
      <alignment horizontal="center" vertical="center" wrapText="1"/>
    </xf>
    <xf numFmtId="9" fontId="5" fillId="16" borderId="1" xfId="0" applyNumberFormat="1" applyFont="1" applyFill="1" applyBorder="1" applyAlignment="1">
      <alignment horizontal="center" vertical="center" wrapText="1"/>
    </xf>
    <xf numFmtId="0" fontId="18" fillId="16" borderId="1" xfId="0" applyFont="1" applyFill="1" applyBorder="1" applyAlignment="1">
      <alignment horizontal="left" vertical="center" wrapText="1"/>
    </xf>
    <xf numFmtId="168" fontId="3" fillId="6" borderId="1" xfId="0" applyNumberFormat="1" applyFont="1" applyFill="1" applyBorder="1" applyAlignment="1">
      <alignment horizontal="center" vertical="center" wrapText="1"/>
    </xf>
    <xf numFmtId="0" fontId="13" fillId="17" borderId="1" xfId="0" applyFont="1" applyFill="1" applyBorder="1" applyAlignment="1">
      <alignment horizontal="left" vertical="center" wrapText="1"/>
    </xf>
    <xf numFmtId="164" fontId="13" fillId="17" borderId="1" xfId="0" applyNumberFormat="1" applyFont="1" applyFill="1" applyBorder="1" applyAlignment="1">
      <alignment horizontal="center" vertical="center" wrapText="1"/>
    </xf>
    <xf numFmtId="1" fontId="13" fillId="17" borderId="1" xfId="0" applyNumberFormat="1" applyFont="1" applyFill="1" applyBorder="1" applyAlignment="1">
      <alignment horizontal="center" vertical="center" wrapText="1"/>
    </xf>
    <xf numFmtId="9" fontId="13" fillId="17" borderId="1" xfId="0" applyNumberFormat="1" applyFont="1" applyFill="1" applyBorder="1" applyAlignment="1">
      <alignment horizontal="center" vertical="center" wrapText="1"/>
    </xf>
    <xf numFmtId="0" fontId="3" fillId="18" borderId="1" xfId="0" applyFont="1" applyFill="1" applyBorder="1" applyAlignment="1">
      <alignment wrapText="1"/>
    </xf>
    <xf numFmtId="0" fontId="3" fillId="19" borderId="1" xfId="0" applyFont="1" applyFill="1" applyBorder="1" applyAlignment="1">
      <alignment horizontal="left" vertical="center" wrapText="1"/>
    </xf>
    <xf numFmtId="168" fontId="3" fillId="19" borderId="1" xfId="0" applyNumberFormat="1" applyFont="1" applyFill="1" applyBorder="1" applyAlignment="1">
      <alignment horizontal="center" vertical="center" wrapText="1"/>
    </xf>
    <xf numFmtId="1" fontId="3" fillId="19" borderId="1" xfId="0" applyNumberFormat="1" applyFont="1" applyFill="1" applyBorder="1" applyAlignment="1">
      <alignment horizontal="center" vertical="center" wrapText="1"/>
    </xf>
    <xf numFmtId="9" fontId="5" fillId="19" borderId="1" xfId="0" applyNumberFormat="1" applyFont="1" applyFill="1" applyBorder="1" applyAlignment="1">
      <alignment horizontal="center" vertical="center" wrapText="1"/>
    </xf>
    <xf numFmtId="14" fontId="3" fillId="19" borderId="1" xfId="0" applyNumberFormat="1" applyFont="1" applyFill="1" applyBorder="1" applyAlignment="1">
      <alignment horizontal="center" vertical="center" wrapText="1"/>
    </xf>
    <xf numFmtId="0" fontId="19" fillId="19" borderId="1" xfId="0" applyFont="1" applyFill="1" applyBorder="1" applyAlignment="1">
      <alignment horizontal="left" vertical="center" wrapText="1"/>
    </xf>
    <xf numFmtId="0" fontId="20" fillId="17" borderId="0" xfId="0" applyFont="1" applyFill="1"/>
    <xf numFmtId="168" fontId="0" fillId="0" borderId="0" xfId="0" applyNumberFormat="1"/>
    <xf numFmtId="49" fontId="14" fillId="8" borderId="1" xfId="0" applyNumberFormat="1" applyFont="1" applyFill="1" applyBorder="1" applyAlignment="1">
      <alignment horizontal="left" vertical="center" wrapText="1"/>
    </xf>
    <xf numFmtId="49" fontId="14" fillId="16" borderId="1" xfId="0" applyNumberFormat="1" applyFont="1" applyFill="1" applyBorder="1" applyAlignment="1">
      <alignment horizontal="left" vertical="center" wrapText="1"/>
    </xf>
    <xf numFmtId="49" fontId="14" fillId="15" borderId="1" xfId="0" applyNumberFormat="1" applyFont="1" applyFill="1" applyBorder="1" applyAlignment="1">
      <alignment horizontal="left" vertical="center" wrapText="1"/>
    </xf>
    <xf numFmtId="9" fontId="5" fillId="0" borderId="1" xfId="0" applyNumberFormat="1" applyFont="1" applyBorder="1" applyAlignment="1">
      <alignment horizontal="center" vertical="center" wrapText="1"/>
    </xf>
    <xf numFmtId="9" fontId="5" fillId="6"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0" fontId="0" fillId="0" borderId="0" xfId="0" applyAlignment="1">
      <alignment wrapText="1"/>
    </xf>
    <xf numFmtId="49" fontId="14" fillId="17" borderId="1" xfId="0" applyNumberFormat="1" applyFont="1" applyFill="1" applyBorder="1" applyAlignment="1">
      <alignment horizontal="left" vertical="center" wrapText="1"/>
    </xf>
    <xf numFmtId="49" fontId="14" fillId="19" borderId="1" xfId="0" applyNumberFormat="1" applyFont="1" applyFill="1" applyBorder="1" applyAlignment="1">
      <alignment horizontal="left" vertical="center" wrapText="1"/>
    </xf>
    <xf numFmtId="0" fontId="20" fillId="12" borderId="0" xfId="0" applyFont="1" applyFill="1"/>
    <xf numFmtId="0" fontId="20" fillId="12" borderId="0" xfId="0" applyFont="1" applyFill="1" applyAlignment="1">
      <alignment wrapText="1"/>
    </xf>
    <xf numFmtId="0" fontId="0" fillId="21" borderId="0" xfId="0" applyFill="1"/>
    <xf numFmtId="0" fontId="0" fillId="21" borderId="0" xfId="0" applyFill="1" applyAlignment="1">
      <alignment wrapText="1"/>
    </xf>
    <xf numFmtId="0" fontId="0" fillId="22" borderId="0" xfId="0" applyFill="1"/>
    <xf numFmtId="0" fontId="0" fillId="22" borderId="0" xfId="0" applyFill="1" applyAlignment="1">
      <alignment wrapText="1"/>
    </xf>
    <xf numFmtId="0" fontId="21" fillId="22" borderId="0" xfId="0" applyFont="1" applyFill="1"/>
    <xf numFmtId="166" fontId="0" fillId="0" borderId="0" xfId="0" applyNumberFormat="1"/>
    <xf numFmtId="166" fontId="0" fillId="21" borderId="0" xfId="0" applyNumberFormat="1" applyFill="1"/>
    <xf numFmtId="166" fontId="0" fillId="22" borderId="0" xfId="0" applyNumberFormat="1" applyFill="1"/>
    <xf numFmtId="0" fontId="0" fillId="15" borderId="0" xfId="0" applyFill="1"/>
    <xf numFmtId="0" fontId="16" fillId="23" borderId="0" xfId="0" applyFont="1" applyFill="1"/>
    <xf numFmtId="169" fontId="0" fillId="0" borderId="0" xfId="0" applyNumberFormat="1"/>
    <xf numFmtId="169" fontId="0" fillId="15" borderId="0" xfId="0" applyNumberFormat="1" applyFill="1"/>
    <xf numFmtId="169" fontId="16" fillId="23" borderId="0" xfId="0" applyNumberFormat="1" applyFont="1" applyFill="1"/>
    <xf numFmtId="49" fontId="14" fillId="13" borderId="1" xfId="0" applyNumberFormat="1" applyFont="1" applyFill="1" applyBorder="1" applyAlignment="1">
      <alignment horizontal="left" vertical="center" wrapText="1"/>
    </xf>
    <xf numFmtId="0" fontId="14" fillId="13" borderId="1" xfId="0" applyFont="1" applyFill="1" applyBorder="1" applyAlignment="1">
      <alignment horizontal="left" vertical="center" wrapText="1"/>
    </xf>
    <xf numFmtId="164" fontId="14" fillId="13" borderId="1" xfId="0" applyNumberFormat="1" applyFont="1" applyFill="1" applyBorder="1" applyAlignment="1">
      <alignment horizontal="center" vertical="center" wrapText="1"/>
    </xf>
    <xf numFmtId="14" fontId="14" fillId="13" borderId="1" xfId="0" applyNumberFormat="1" applyFont="1" applyFill="1" applyBorder="1" applyAlignment="1">
      <alignment horizontal="center" vertical="center" wrapText="1"/>
    </xf>
    <xf numFmtId="168" fontId="16" fillId="14" borderId="0" xfId="0" applyNumberFormat="1" applyFont="1" applyFill="1" applyAlignment="1">
      <alignment horizontal="center"/>
    </xf>
    <xf numFmtId="0" fontId="0" fillId="24" borderId="0" xfId="0" applyFill="1"/>
    <xf numFmtId="168" fontId="0" fillId="24" borderId="0" xfId="0" applyNumberFormat="1" applyFill="1"/>
    <xf numFmtId="0" fontId="0" fillId="25" borderId="0" xfId="0" applyFill="1"/>
    <xf numFmtId="168" fontId="0" fillId="25" borderId="0" xfId="0" applyNumberFormat="1" applyFill="1"/>
    <xf numFmtId="1" fontId="0" fillId="0" borderId="0" xfId="0" applyNumberFormat="1"/>
    <xf numFmtId="1" fontId="0" fillId="25" borderId="0" xfId="0" applyNumberFormat="1" applyFill="1"/>
    <xf numFmtId="1" fontId="0" fillId="24" borderId="0" xfId="0" applyNumberFormat="1" applyFill="1"/>
    <xf numFmtId="0" fontId="27" fillId="25" borderId="0" xfId="0" applyFont="1" applyFill="1" applyAlignment="1">
      <alignment wrapText="1"/>
    </xf>
    <xf numFmtId="0" fontId="0" fillId="24" borderId="0" xfId="0" applyFill="1" applyAlignment="1">
      <alignment wrapText="1"/>
    </xf>
    <xf numFmtId="166" fontId="3" fillId="0" borderId="1" xfId="0" applyNumberFormat="1" applyFont="1" applyBorder="1" applyAlignment="1">
      <alignment horizontal="left" vertical="center" wrapText="1"/>
    </xf>
    <xf numFmtId="165"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3" fillId="12" borderId="2" xfId="0" applyFont="1" applyFill="1" applyBorder="1" applyAlignment="1">
      <alignment horizontal="left" vertical="center" wrapText="1"/>
    </xf>
    <xf numFmtId="0" fontId="23" fillId="17" borderId="0" xfId="0" applyFont="1" applyFill="1"/>
    <xf numFmtId="0" fontId="0" fillId="0" borderId="0" xfId="0"/>
    <xf numFmtId="0" fontId="24" fillId="0" borderId="0" xfId="0" applyFont="1"/>
    <xf numFmtId="0" fontId="15" fillId="0" borderId="0" xfId="0" applyFont="1"/>
    <xf numFmtId="0" fontId="25" fillId="17" borderId="0" xfId="0" applyFont="1" applyFill="1"/>
    <xf numFmtId="0" fontId="26" fillId="0" borderId="0" xfId="0" applyFont="1"/>
    <xf numFmtId="0" fontId="14" fillId="26" borderId="5" xfId="0" applyFont="1" applyFill="1" applyBorder="1" applyAlignment="1">
      <alignment horizontal="left" vertical="center"/>
    </xf>
    <xf numFmtId="0" fontId="14" fillId="26" borderId="4" xfId="0" applyFont="1" applyFill="1" applyBorder="1" applyAlignment="1">
      <alignment horizontal="left" vertical="center"/>
    </xf>
    <xf numFmtId="0" fontId="14" fillId="27" borderId="4" xfId="0" applyFont="1" applyFill="1" applyBorder="1" applyAlignment="1">
      <alignment horizontal="left" vertical="center"/>
    </xf>
    <xf numFmtId="0" fontId="14" fillId="28" borderId="4" xfId="0" applyFont="1" applyFill="1" applyBorder="1" applyAlignment="1">
      <alignment horizontal="left" vertical="center"/>
    </xf>
    <xf numFmtId="0" fontId="14" fillId="28" borderId="5" xfId="0" applyFont="1" applyFill="1" applyBorder="1" applyAlignment="1">
      <alignment horizontal="left" vertical="center"/>
    </xf>
    <xf numFmtId="0" fontId="14" fillId="29" borderId="4" xfId="0" applyFont="1" applyFill="1" applyBorder="1" applyAlignment="1">
      <alignment horizontal="left" vertical="center"/>
    </xf>
    <xf numFmtId="0" fontId="14" fillId="29" borderId="5" xfId="0" applyFont="1" applyFill="1" applyBorder="1" applyAlignment="1">
      <alignment horizontal="left" vertical="center"/>
    </xf>
    <xf numFmtId="0" fontId="14" fillId="30" borderId="4" xfId="0" applyFont="1" applyFill="1" applyBorder="1" applyAlignment="1">
      <alignment horizontal="left" vertical="center"/>
    </xf>
    <xf numFmtId="0" fontId="29" fillId="31" borderId="4" xfId="0" applyFont="1" applyFill="1" applyBorder="1" applyAlignment="1">
      <alignment horizontal="left" vertical="center"/>
    </xf>
    <xf numFmtId="0" fontId="28" fillId="31" borderId="5" xfId="0" applyFont="1" applyFill="1" applyBorder="1" applyAlignment="1">
      <alignment horizontal="left" vertical="center"/>
    </xf>
    <xf numFmtId="0" fontId="28" fillId="31" borderId="4" xfId="0" applyFont="1" applyFill="1" applyBorder="1" applyAlignment="1">
      <alignment horizontal="left" vertical="center"/>
    </xf>
    <xf numFmtId="0" fontId="14" fillId="32" borderId="4" xfId="0" applyFont="1" applyFill="1" applyBorder="1" applyAlignment="1">
      <alignment horizontal="left" vertical="center"/>
    </xf>
    <xf numFmtId="0" fontId="14" fillId="32" borderId="3" xfId="0" applyFont="1" applyFill="1" applyBorder="1" applyAlignment="1">
      <alignment horizontal="left" vertical="center"/>
    </xf>
    <xf numFmtId="0" fontId="30" fillId="17" borderId="9" xfId="0" applyFont="1" applyFill="1" applyBorder="1"/>
    <xf numFmtId="0" fontId="31" fillId="17" borderId="9" xfId="0" applyFont="1" applyFill="1" applyBorder="1" applyAlignment="1">
      <alignment wrapText="1"/>
    </xf>
    <xf numFmtId="0" fontId="31" fillId="17" borderId="9" xfId="0" applyFont="1" applyFill="1" applyBorder="1"/>
    <xf numFmtId="1" fontId="31" fillId="17" borderId="9" xfId="0" applyNumberFormat="1" applyFont="1" applyFill="1" applyBorder="1" applyAlignment="1">
      <alignment horizontal="center"/>
    </xf>
    <xf numFmtId="0" fontId="31" fillId="17" borderId="9" xfId="0" applyFont="1" applyFill="1" applyBorder="1" applyAlignment="1">
      <alignment horizontal="center"/>
    </xf>
    <xf numFmtId="0" fontId="0" fillId="18" borderId="9" xfId="0" applyFill="1" applyBorder="1"/>
    <xf numFmtId="0" fontId="32" fillId="19" borderId="9" xfId="0" applyFont="1" applyFill="1" applyBorder="1" applyAlignment="1">
      <alignment vertical="center"/>
    </xf>
    <xf numFmtId="0" fontId="33" fillId="19" borderId="9" xfId="0" applyFont="1" applyFill="1" applyBorder="1" applyAlignment="1">
      <alignment vertical="center" wrapText="1"/>
    </xf>
    <xf numFmtId="0" fontId="33" fillId="19" borderId="9" xfId="0" applyFont="1" applyFill="1" applyBorder="1" applyAlignment="1">
      <alignment vertical="center"/>
    </xf>
    <xf numFmtId="168" fontId="33" fillId="19" borderId="9" xfId="0" applyNumberFormat="1" applyFont="1" applyFill="1" applyBorder="1" applyAlignment="1">
      <alignment horizontal="center" vertical="center"/>
    </xf>
    <xf numFmtId="1" fontId="33" fillId="19" borderId="9" xfId="0" applyNumberFormat="1" applyFont="1" applyFill="1" applyBorder="1" applyAlignment="1">
      <alignment horizontal="center" vertical="center"/>
    </xf>
    <xf numFmtId="0" fontId="9" fillId="11" borderId="9" xfId="0" applyFont="1" applyFill="1" applyBorder="1" applyAlignment="1">
      <alignment horizontal="center" vertical="center"/>
    </xf>
    <xf numFmtId="0" fontId="9" fillId="11" borderId="9" xfId="0" applyFont="1" applyFill="1" applyBorder="1"/>
    <xf numFmtId="0" fontId="0" fillId="11" borderId="9" xfId="0" applyFill="1" applyBorder="1"/>
    <xf numFmtId="0" fontId="16" fillId="0" borderId="9" xfId="0" applyFont="1" applyBorder="1"/>
    <xf numFmtId="0" fontId="0" fillId="0" borderId="9" xfId="0" applyBorder="1" applyAlignment="1">
      <alignment wrapText="1"/>
    </xf>
    <xf numFmtId="0" fontId="0" fillId="0" borderId="9" xfId="0" applyBorder="1"/>
    <xf numFmtId="168" fontId="0" fillId="0" borderId="9" xfId="0" applyNumberFormat="1" applyBorder="1" applyAlignment="1">
      <alignment horizontal="center"/>
    </xf>
    <xf numFmtId="1" fontId="0" fillId="0" borderId="9" xfId="0" applyNumberFormat="1" applyBorder="1" applyAlignment="1">
      <alignment horizontal="center"/>
    </xf>
    <xf numFmtId="0" fontId="0" fillId="0" borderId="9" xfId="0" applyBorder="1" applyAlignment="1">
      <alignment horizontal="center"/>
    </xf>
    <xf numFmtId="0" fontId="16" fillId="19" borderId="9" xfId="0" applyFont="1" applyFill="1" applyBorder="1"/>
    <xf numFmtId="0" fontId="0" fillId="19" borderId="9" xfId="0" applyFill="1" applyBorder="1" applyAlignment="1">
      <alignment wrapText="1"/>
    </xf>
    <xf numFmtId="0" fontId="0" fillId="19" borderId="9" xfId="0" applyFill="1" applyBorder="1"/>
    <xf numFmtId="168" fontId="0" fillId="19" borderId="9" xfId="0" applyNumberFormat="1" applyFill="1" applyBorder="1" applyAlignment="1">
      <alignment horizontal="center"/>
    </xf>
    <xf numFmtId="1" fontId="0" fillId="19" borderId="9" xfId="0" applyNumberFormat="1" applyFill="1" applyBorder="1" applyAlignment="1">
      <alignment horizontal="center"/>
    </xf>
    <xf numFmtId="0" fontId="0" fillId="19" borderId="9" xfId="0" applyFill="1" applyBorder="1" applyAlignment="1">
      <alignment horizontal="center"/>
    </xf>
    <xf numFmtId="0" fontId="22" fillId="0" borderId="9" xfId="0" applyFont="1" applyBorder="1" applyAlignment="1">
      <alignment wrapText="1"/>
    </xf>
    <xf numFmtId="0" fontId="16" fillId="17" borderId="9" xfId="0" applyFont="1" applyFill="1" applyBorder="1"/>
    <xf numFmtId="0" fontId="20" fillId="17" borderId="9" xfId="0" applyFont="1" applyFill="1" applyBorder="1" applyAlignment="1">
      <alignment wrapText="1"/>
    </xf>
    <xf numFmtId="0" fontId="20" fillId="17" borderId="9" xfId="0" applyFont="1" applyFill="1" applyBorder="1"/>
    <xf numFmtId="0" fontId="20" fillId="17" borderId="9" xfId="0" applyFont="1" applyFill="1" applyBorder="1" applyAlignment="1">
      <alignment horizontal="center"/>
    </xf>
    <xf numFmtId="1" fontId="20" fillId="17" borderId="9" xfId="0" applyNumberFormat="1" applyFont="1" applyFill="1" applyBorder="1" applyAlignment="1">
      <alignment horizontal="center"/>
    </xf>
    <xf numFmtId="0" fontId="22" fillId="19" borderId="9" xfId="0" applyFont="1" applyFill="1" applyBorder="1" applyAlignment="1">
      <alignment wrapText="1"/>
    </xf>
    <xf numFmtId="0" fontId="16" fillId="20" borderId="9" xfId="0" applyFont="1" applyFill="1" applyBorder="1"/>
    <xf numFmtId="0" fontId="0" fillId="20" borderId="9" xfId="0" applyFill="1" applyBorder="1" applyAlignment="1">
      <alignment wrapText="1"/>
    </xf>
    <xf numFmtId="0" fontId="0" fillId="20" borderId="9" xfId="0" applyFill="1" applyBorder="1"/>
    <xf numFmtId="168" fontId="0" fillId="20" borderId="9" xfId="0" applyNumberFormat="1" applyFill="1" applyBorder="1" applyAlignment="1">
      <alignment horizontal="center"/>
    </xf>
    <xf numFmtId="1" fontId="0" fillId="20" borderId="9" xfId="0" applyNumberFormat="1" applyFill="1" applyBorder="1" applyAlignment="1">
      <alignment horizontal="center"/>
    </xf>
    <xf numFmtId="0" fontId="0" fillId="20" borderId="9" xfId="0" applyFill="1" applyBorder="1" applyAlignment="1">
      <alignment horizontal="center"/>
    </xf>
  </cellXfs>
  <cellStyles count="4">
    <cellStyle name="Hyperlink" xfId="3" xr:uid="{00000000-0005-0000-0000-000000000000}"/>
    <cellStyle name="Normal" xfId="0" builtinId="0"/>
    <cellStyle name="Normal 2" xfId="2" xr:uid="{00000000-0005-0000-0000-000002000000}"/>
    <cellStyle name="Percent" xfId="1" xr:uid="{00000000-0005-0000-0000-000003000000}"/>
  </cellStyles>
  <dxfs count="6">
    <dxf>
      <fill>
        <patternFill patternType="solid">
          <bgColor rgb="FFD94862"/>
        </patternFill>
      </fill>
    </dxf>
    <dxf>
      <fill>
        <patternFill patternType="solid">
          <bgColor rgb="FF3886C5"/>
        </patternFill>
      </fill>
    </dxf>
    <dxf>
      <fill>
        <patternFill patternType="solid">
          <bgColor rgb="FFD94862"/>
        </patternFill>
      </fill>
    </dxf>
    <dxf>
      <fill>
        <patternFill patternType="solid">
          <bgColor rgb="FF3886C5"/>
        </patternFill>
      </fill>
    </dxf>
    <dxf>
      <fill>
        <patternFill patternType="solid">
          <bgColor rgb="FFD94862"/>
        </patternFill>
      </fill>
    </dxf>
    <dxf>
      <fill>
        <patternFill patternType="solid">
          <bgColor rgb="FF3886C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Headline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phClr">
            <a:tint val="67000"/>
            <a:satMod val="105000"/>
          </a:schemeClr>
        </a:solidFill>
        <a:gradFill rotWithShape="1">
          <a:gsLst>
            <a:gs pos="0">
              <a:schemeClr val="phClr">
                <a:tint val="100000"/>
                <a:lumMod val="102000"/>
                <a:satMod val="103000"/>
              </a:schemeClr>
            </a:gs>
            <a:gs pos="50000">
              <a:schemeClr val="phClr">
                <a:shade val="100000"/>
                <a:lumMod val="100000"/>
                <a:satMod val="110000"/>
              </a:schemeClr>
            </a:gs>
            <a:gs pos="100000">
              <a:schemeClr val="phClr">
                <a:shade val="70000"/>
                <a:lumMod val="99000"/>
                <a:satMod val="120000"/>
              </a:schemeClr>
            </a:gs>
          </a:gsLst>
          <a:path path="circle">
            <a:fillToRect l="100000" t="100000" r="100000" b="100000"/>
          </a:path>
        </a:gradFill>
      </a:fillStyleLst>
      <a:lnStyleLst>
        <a:ln w="6350">
          <a:solidFill>
            <a:schemeClr val="phClr"/>
          </a:solidFill>
          <a:prstDash val="solid"/>
        </a:ln>
        <a:ln w="12700">
          <a:solidFill>
            <a:schemeClr val="phClr"/>
          </a:solidFill>
          <a:prstDash val="solid"/>
        </a:ln>
        <a:ln w="19050">
          <a:solidFill>
            <a:schemeClr val="phClr">
              <a:satMod val="150000"/>
            </a:schemeClr>
          </a:solidFill>
          <a:prstDash val="solid"/>
        </a:ln>
      </a:lnStyleLst>
      <a:effectStyleLst>
        <a:effectStyle>
          <a:effectLst/>
        </a:effectStyle>
        <a:effectStyle>
          <a:effectLst/>
        </a:effectStyle>
        <a:effectStyle>
          <a:effectLst>
            <a:innerShdw blurRad="88900" dist="25400" dir="10800000">
              <a:srgbClr val="000000">
                <a:alpha val="25000"/>
              </a:srgbClr>
            </a:innerShdw>
            <a:outerShdw blurRad="25400" dist="25400" dir="5400000" rotWithShape="0">
              <a:srgbClr val="FFFFFF">
                <a:alpha val="1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B2:BP88"/>
  <sheetViews>
    <sheetView showGridLines="0" tabSelected="1" zoomScale="55" zoomScaleNormal="55" workbookViewId="0">
      <pane ySplit="9" topLeftCell="A10" activePane="bottomLeft" state="frozen"/>
      <selection pane="bottomLeft" sqref="A1:XFD1"/>
    </sheetView>
  </sheetViews>
  <sheetFormatPr defaultColWidth="10.69921875" defaultRowHeight="15.6" x14ac:dyDescent="0.3"/>
  <cols>
    <col min="1" max="1" width="3.19921875" style="2" customWidth="1"/>
    <col min="2" max="2" width="13" style="2" customWidth="1"/>
    <col min="3" max="3" width="49" style="2" customWidth="1"/>
    <col min="4" max="4" width="15" style="2" customWidth="1"/>
    <col min="5" max="6" width="15" customWidth="1"/>
    <col min="7" max="7" width="14" style="2" customWidth="1"/>
    <col min="8" max="8" width="12" style="2" customWidth="1"/>
    <col min="9" max="68" width="4.296875" customWidth="1"/>
    <col min="69" max="69" width="3.19921875" style="2" customWidth="1"/>
    <col min="70" max="16384" width="10.69921875" style="2"/>
  </cols>
  <sheetData>
    <row r="2" spans="2:68" s="17" customFormat="1" ht="50.1" customHeight="1" x14ac:dyDescent="0.25">
      <c r="B2" s="22" t="s">
        <v>5</v>
      </c>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row>
    <row r="3" spans="2:68" ht="35.1" customHeight="1" x14ac:dyDescent="0.3">
      <c r="B3" s="18" t="s">
        <v>0</v>
      </c>
      <c r="C3" s="116" t="s">
        <v>6</v>
      </c>
      <c r="D3" s="116"/>
      <c r="E3" s="3"/>
      <c r="F3" s="3"/>
      <c r="G3" s="3"/>
      <c r="H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spans="2:68" ht="35.1" customHeight="1" x14ac:dyDescent="0.3">
      <c r="B4" s="18" t="s">
        <v>1</v>
      </c>
      <c r="C4" s="116" t="s">
        <v>7</v>
      </c>
      <c r="D4" s="116"/>
      <c r="E4" s="3"/>
      <c r="F4" s="3"/>
      <c r="G4" s="3"/>
      <c r="H4" s="3"/>
      <c r="J4" s="3"/>
      <c r="K4" s="3"/>
      <c r="L4" s="3"/>
      <c r="M4" s="3"/>
      <c r="N4" s="3"/>
      <c r="O4" s="3"/>
      <c r="P4" s="3"/>
      <c r="Q4" s="3"/>
      <c r="R4" s="3"/>
      <c r="S4" s="3"/>
      <c r="T4" s="3"/>
      <c r="U4" s="3"/>
      <c r="V4" s="3"/>
      <c r="W4" s="3"/>
      <c r="X4" s="3"/>
      <c r="Y4" s="3"/>
      <c r="Z4" s="3"/>
      <c r="AA4" s="3"/>
      <c r="AB4" s="3"/>
      <c r="AC4" s="3"/>
      <c r="AD4" s="3"/>
      <c r="AE4" s="3"/>
      <c r="AF4" s="3"/>
      <c r="AG4" s="3"/>
      <c r="AH4" s="3"/>
      <c r="AI4" s="3"/>
      <c r="AJ4" s="3"/>
      <c r="AK4" s="3"/>
      <c r="AL4" s="3"/>
    </row>
    <row r="5" spans="2:68" ht="35.1" customHeight="1" x14ac:dyDescent="0.3">
      <c r="B5" s="18" t="s">
        <v>2</v>
      </c>
      <c r="C5" s="116" t="s">
        <v>8</v>
      </c>
      <c r="D5" s="116"/>
      <c r="I5" s="43" t="s">
        <v>9</v>
      </c>
      <c r="J5" s="43"/>
      <c r="K5" s="43"/>
      <c r="L5" s="43"/>
      <c r="M5" s="43"/>
      <c r="N5" s="43"/>
      <c r="O5" s="43"/>
      <c r="P5" s="43"/>
      <c r="Q5" s="43"/>
      <c r="R5" s="43"/>
      <c r="S5" s="43"/>
      <c r="T5" s="43"/>
      <c r="U5" s="43"/>
      <c r="V5" s="43"/>
      <c r="W5" s="43" t="s">
        <v>10</v>
      </c>
      <c r="X5" s="43"/>
      <c r="Y5" s="43"/>
      <c r="Z5" s="43"/>
      <c r="AA5" s="43"/>
      <c r="AB5" s="43"/>
      <c r="AC5" s="43"/>
      <c r="AD5" s="43"/>
      <c r="AE5" s="43"/>
      <c r="AF5" s="43"/>
      <c r="AG5" s="43" t="s">
        <v>11</v>
      </c>
      <c r="AH5" s="43"/>
      <c r="AI5" s="43"/>
      <c r="AJ5" s="43"/>
      <c r="AK5" s="43"/>
      <c r="AL5" s="43"/>
      <c r="AM5" s="43"/>
      <c r="AN5" s="43"/>
      <c r="AO5" s="43"/>
      <c r="AP5" s="43"/>
      <c r="AQ5" s="43" t="s">
        <v>12</v>
      </c>
      <c r="AR5" s="43"/>
      <c r="AS5" s="43"/>
      <c r="AT5" s="43"/>
      <c r="AU5" s="43"/>
      <c r="AV5" s="43"/>
      <c r="AW5" s="43"/>
      <c r="AX5" s="43"/>
      <c r="AY5" s="43"/>
      <c r="AZ5" s="43"/>
      <c r="BA5" s="43" t="s">
        <v>13</v>
      </c>
      <c r="BB5" s="43"/>
      <c r="BC5" s="43"/>
      <c r="BD5" s="43"/>
      <c r="BE5" s="43"/>
      <c r="BF5" s="43"/>
      <c r="BG5" s="43"/>
      <c r="BH5" s="43"/>
      <c r="BI5" s="43"/>
      <c r="BJ5" s="43"/>
      <c r="BK5" s="43" t="s">
        <v>14</v>
      </c>
      <c r="BL5" s="43"/>
      <c r="BM5" s="43"/>
      <c r="BN5" s="43"/>
      <c r="BO5" s="43"/>
      <c r="BP5" s="43"/>
    </row>
    <row r="6" spans="2:68" ht="35.1" customHeight="1" x14ac:dyDescent="0.25">
      <c r="B6" s="18" t="s">
        <v>3</v>
      </c>
      <c r="C6" s="114">
        <v>46314</v>
      </c>
      <c r="D6" s="115"/>
      <c r="E6" s="1"/>
      <c r="F6" s="1"/>
      <c r="G6" s="1"/>
      <c r="H6" s="1"/>
      <c r="I6" s="34" t="s">
        <v>15</v>
      </c>
      <c r="J6" s="35"/>
      <c r="K6" s="35"/>
      <c r="L6" s="35"/>
      <c r="M6" s="35"/>
      <c r="N6" s="35" t="s">
        <v>16</v>
      </c>
      <c r="O6" s="35"/>
      <c r="P6" s="35"/>
      <c r="Q6" s="35"/>
      <c r="R6" s="35"/>
      <c r="S6" s="35" t="s">
        <v>17</v>
      </c>
      <c r="T6" s="35"/>
      <c r="U6" s="35"/>
      <c r="V6" s="35"/>
      <c r="W6" s="35"/>
      <c r="X6" s="36" t="s">
        <v>18</v>
      </c>
      <c r="Y6" s="37"/>
      <c r="Z6" s="37"/>
      <c r="AA6" s="37"/>
      <c r="AB6" s="37"/>
      <c r="AC6" s="37" t="s">
        <v>19</v>
      </c>
      <c r="AD6" s="37"/>
      <c r="AE6" s="37"/>
      <c r="AF6" s="37"/>
      <c r="AG6" s="37"/>
      <c r="AH6" s="37" t="s">
        <v>20</v>
      </c>
      <c r="AI6" s="37"/>
      <c r="AJ6" s="37"/>
      <c r="AK6" s="37"/>
      <c r="AL6" s="37"/>
      <c r="AM6" s="38" t="s">
        <v>21</v>
      </c>
      <c r="AN6" s="39"/>
      <c r="AO6" s="39"/>
      <c r="AP6" s="39"/>
      <c r="AQ6" s="39"/>
      <c r="AR6" s="39" t="s">
        <v>22</v>
      </c>
      <c r="AS6" s="39"/>
      <c r="AT6" s="39"/>
      <c r="AU6" s="39"/>
      <c r="AV6" s="39"/>
      <c r="AW6" s="39" t="s">
        <v>23</v>
      </c>
      <c r="AX6" s="39"/>
      <c r="AY6" s="39"/>
      <c r="AZ6" s="39"/>
      <c r="BA6" s="39"/>
      <c r="BB6" s="40" t="s">
        <v>24</v>
      </c>
      <c r="BC6" s="41"/>
      <c r="BD6" s="41"/>
      <c r="BE6" s="41"/>
      <c r="BF6" s="41"/>
      <c r="BG6" s="41" t="s">
        <v>25</v>
      </c>
      <c r="BH6" s="41"/>
      <c r="BI6" s="41"/>
      <c r="BJ6" s="41"/>
      <c r="BK6" s="41"/>
      <c r="BL6" s="41" t="s">
        <v>26</v>
      </c>
      <c r="BM6" s="41"/>
      <c r="BN6" s="41"/>
      <c r="BO6" s="41"/>
      <c r="BP6" s="42"/>
    </row>
    <row r="7" spans="2:68" s="8" customFormat="1" ht="18" customHeight="1" x14ac:dyDescent="0.25">
      <c r="B7" s="21"/>
      <c r="C7" s="21"/>
      <c r="D7" s="21"/>
      <c r="E7" s="21"/>
      <c r="F7" s="21"/>
      <c r="G7" s="21"/>
      <c r="H7" s="21"/>
      <c r="I7" s="27" t="s">
        <v>27</v>
      </c>
      <c r="J7" s="27"/>
      <c r="K7" s="27"/>
      <c r="L7" s="27"/>
      <c r="M7" s="27"/>
      <c r="N7" s="27" t="s">
        <v>28</v>
      </c>
      <c r="O7" s="27"/>
      <c r="P7" s="27"/>
      <c r="Q7" s="27"/>
      <c r="R7" s="27"/>
      <c r="S7" s="27" t="s">
        <v>29</v>
      </c>
      <c r="T7" s="27"/>
      <c r="U7" s="27"/>
      <c r="V7" s="27"/>
      <c r="W7" s="27"/>
      <c r="X7" s="27" t="s">
        <v>30</v>
      </c>
      <c r="Y7" s="27"/>
      <c r="Z7" s="27"/>
      <c r="AA7" s="27"/>
      <c r="AB7" s="27"/>
      <c r="AC7" s="27" t="s">
        <v>31</v>
      </c>
      <c r="AD7" s="27"/>
      <c r="AE7" s="27"/>
      <c r="AF7" s="27"/>
      <c r="AG7" s="27"/>
      <c r="AH7" s="27" t="s">
        <v>32</v>
      </c>
      <c r="AI7" s="27"/>
      <c r="AJ7" s="27"/>
      <c r="AK7" s="27"/>
      <c r="AL7" s="27"/>
      <c r="AM7" s="27" t="s">
        <v>33</v>
      </c>
      <c r="AN7" s="27"/>
      <c r="AO7" s="27"/>
      <c r="AP7" s="27"/>
      <c r="AQ7" s="27"/>
      <c r="AR7" s="27" t="s">
        <v>34</v>
      </c>
      <c r="AS7" s="27"/>
      <c r="AT7" s="27"/>
      <c r="AU7" s="27"/>
      <c r="AV7" s="27"/>
      <c r="AW7" s="27" t="s">
        <v>35</v>
      </c>
      <c r="AX7" s="27"/>
      <c r="AY7" s="27"/>
      <c r="AZ7" s="27"/>
      <c r="BA7" s="27"/>
      <c r="BB7" s="27" t="s">
        <v>36</v>
      </c>
      <c r="BC7" s="27"/>
      <c r="BD7" s="27"/>
      <c r="BE7" s="27"/>
      <c r="BF7" s="27"/>
      <c r="BG7" s="27" t="s">
        <v>37</v>
      </c>
      <c r="BH7" s="27"/>
      <c r="BI7" s="27"/>
      <c r="BJ7" s="27"/>
      <c r="BK7" s="27"/>
      <c r="BL7" s="27" t="s">
        <v>38</v>
      </c>
      <c r="BM7" s="27"/>
      <c r="BN7" s="27"/>
      <c r="BO7" s="27"/>
      <c r="BP7" s="27"/>
    </row>
    <row r="8" spans="2:68" ht="18" customHeight="1" x14ac:dyDescent="0.25">
      <c r="B8" s="117" t="s">
        <v>39</v>
      </c>
      <c r="C8" s="117" t="s">
        <v>40</v>
      </c>
      <c r="D8" s="117" t="s">
        <v>41</v>
      </c>
      <c r="E8" s="117" t="s">
        <v>42</v>
      </c>
      <c r="F8" s="117" t="s">
        <v>43</v>
      </c>
      <c r="G8" s="117" t="s">
        <v>44</v>
      </c>
      <c r="H8" s="117" t="s">
        <v>45</v>
      </c>
      <c r="I8" s="28" t="s">
        <v>46</v>
      </c>
      <c r="J8" s="29" t="s">
        <v>47</v>
      </c>
      <c r="K8" s="29" t="s">
        <v>48</v>
      </c>
      <c r="L8" s="29" t="s">
        <v>47</v>
      </c>
      <c r="M8" s="30" t="s">
        <v>49</v>
      </c>
      <c r="N8" s="28" t="s">
        <v>46</v>
      </c>
      <c r="O8" s="29" t="s">
        <v>47</v>
      </c>
      <c r="P8" s="29" t="s">
        <v>48</v>
      </c>
      <c r="Q8" s="29" t="s">
        <v>47</v>
      </c>
      <c r="R8" s="30" t="s">
        <v>49</v>
      </c>
      <c r="S8" s="28" t="s">
        <v>46</v>
      </c>
      <c r="T8" s="29" t="s">
        <v>47</v>
      </c>
      <c r="U8" s="29" t="s">
        <v>48</v>
      </c>
      <c r="V8" s="29" t="s">
        <v>47</v>
      </c>
      <c r="W8" s="29" t="s">
        <v>49</v>
      </c>
      <c r="X8" s="28" t="s">
        <v>46</v>
      </c>
      <c r="Y8" s="29" t="s">
        <v>47</v>
      </c>
      <c r="Z8" s="29" t="s">
        <v>48</v>
      </c>
      <c r="AA8" s="29" t="s">
        <v>47</v>
      </c>
      <c r="AB8" s="30" t="s">
        <v>49</v>
      </c>
      <c r="AC8" s="29" t="s">
        <v>46</v>
      </c>
      <c r="AD8" s="29" t="s">
        <v>47</v>
      </c>
      <c r="AE8" s="29" t="s">
        <v>48</v>
      </c>
      <c r="AF8" s="29" t="s">
        <v>47</v>
      </c>
      <c r="AG8" s="30" t="s">
        <v>49</v>
      </c>
      <c r="AH8" s="29" t="s">
        <v>46</v>
      </c>
      <c r="AI8" s="29" t="s">
        <v>47</v>
      </c>
      <c r="AJ8" s="29" t="s">
        <v>48</v>
      </c>
      <c r="AK8" s="29" t="s">
        <v>47</v>
      </c>
      <c r="AL8" s="29" t="s">
        <v>49</v>
      </c>
      <c r="AM8" s="28" t="s">
        <v>46</v>
      </c>
      <c r="AN8" s="29" t="s">
        <v>47</v>
      </c>
      <c r="AO8" s="29" t="s">
        <v>48</v>
      </c>
      <c r="AP8" s="29" t="s">
        <v>47</v>
      </c>
      <c r="AQ8" s="29" t="s">
        <v>49</v>
      </c>
      <c r="AR8" s="28" t="s">
        <v>46</v>
      </c>
      <c r="AS8" s="29" t="s">
        <v>47</v>
      </c>
      <c r="AT8" s="29" t="s">
        <v>48</v>
      </c>
      <c r="AU8" s="29" t="s">
        <v>47</v>
      </c>
      <c r="AV8" s="29" t="s">
        <v>49</v>
      </c>
      <c r="AW8" s="28" t="s">
        <v>46</v>
      </c>
      <c r="AX8" s="29" t="s">
        <v>47</v>
      </c>
      <c r="AY8" s="29" t="s">
        <v>48</v>
      </c>
      <c r="AZ8" s="29" t="s">
        <v>47</v>
      </c>
      <c r="BA8" s="29" t="s">
        <v>49</v>
      </c>
      <c r="BB8" s="28" t="s">
        <v>46</v>
      </c>
      <c r="BC8" s="29" t="s">
        <v>47</v>
      </c>
      <c r="BD8" s="29" t="s">
        <v>48</v>
      </c>
      <c r="BE8" s="29" t="s">
        <v>47</v>
      </c>
      <c r="BF8" s="29" t="s">
        <v>49</v>
      </c>
      <c r="BG8" s="28" t="s">
        <v>46</v>
      </c>
      <c r="BH8" s="29" t="s">
        <v>47</v>
      </c>
      <c r="BI8" s="29" t="s">
        <v>48</v>
      </c>
      <c r="BJ8" s="29" t="s">
        <v>47</v>
      </c>
      <c r="BK8" s="29" t="s">
        <v>49</v>
      </c>
      <c r="BL8" s="28" t="s">
        <v>46</v>
      </c>
      <c r="BM8" s="29" t="s">
        <v>47</v>
      </c>
      <c r="BN8" s="29" t="s">
        <v>48</v>
      </c>
      <c r="BO8" s="29" t="s">
        <v>47</v>
      </c>
      <c r="BP8" s="30" t="s">
        <v>49</v>
      </c>
    </row>
    <row r="9" spans="2:68" ht="18" customHeight="1" x14ac:dyDescent="0.25">
      <c r="B9" s="118"/>
      <c r="C9" s="118"/>
      <c r="D9" s="118"/>
      <c r="E9" s="118"/>
      <c r="F9" s="118"/>
      <c r="G9" s="118"/>
      <c r="H9" s="118"/>
      <c r="I9" s="31">
        <v>46300</v>
      </c>
      <c r="J9" s="32">
        <v>46301</v>
      </c>
      <c r="K9" s="32">
        <v>46302</v>
      </c>
      <c r="L9" s="32">
        <v>46303</v>
      </c>
      <c r="M9" s="32">
        <v>46304</v>
      </c>
      <c r="N9" s="33">
        <v>46307</v>
      </c>
      <c r="O9" s="33">
        <v>46308</v>
      </c>
      <c r="P9" s="33">
        <v>46309</v>
      </c>
      <c r="Q9" s="33">
        <v>46310</v>
      </c>
      <c r="R9" s="33">
        <v>46311</v>
      </c>
      <c r="S9" s="33">
        <v>46314</v>
      </c>
      <c r="T9" s="33">
        <v>46315</v>
      </c>
      <c r="U9" s="33">
        <v>46316</v>
      </c>
      <c r="V9" s="33">
        <v>46317</v>
      </c>
      <c r="W9" s="33">
        <v>46318</v>
      </c>
      <c r="X9" s="32">
        <v>46321</v>
      </c>
      <c r="Y9" s="32">
        <v>46322</v>
      </c>
      <c r="Z9" s="32">
        <v>46323</v>
      </c>
      <c r="AA9" s="32">
        <v>46324</v>
      </c>
      <c r="AB9" s="32">
        <v>46325</v>
      </c>
      <c r="AC9" s="32">
        <v>46328</v>
      </c>
      <c r="AD9" s="32">
        <v>46329</v>
      </c>
      <c r="AE9" s="32">
        <v>46330</v>
      </c>
      <c r="AF9" s="32">
        <v>46331</v>
      </c>
      <c r="AG9" s="32">
        <v>46332</v>
      </c>
      <c r="AH9" s="32">
        <v>46335</v>
      </c>
      <c r="AI9" s="32">
        <v>46336</v>
      </c>
      <c r="AJ9" s="32">
        <v>46337</v>
      </c>
      <c r="AK9" s="32">
        <v>46338</v>
      </c>
      <c r="AL9" s="32">
        <v>46339</v>
      </c>
      <c r="AM9" s="32">
        <v>46342</v>
      </c>
      <c r="AN9" s="32">
        <v>46343</v>
      </c>
      <c r="AO9" s="32">
        <v>46344</v>
      </c>
      <c r="AP9" s="32">
        <v>46345</v>
      </c>
      <c r="AQ9" s="32">
        <v>46346</v>
      </c>
      <c r="AR9" s="32">
        <v>46349</v>
      </c>
      <c r="AS9" s="32">
        <v>46350</v>
      </c>
      <c r="AT9" s="32">
        <v>46351</v>
      </c>
      <c r="AU9" s="32">
        <v>46352</v>
      </c>
      <c r="AV9" s="32">
        <v>46353</v>
      </c>
      <c r="AW9" s="32">
        <v>46356</v>
      </c>
      <c r="AX9" s="32">
        <v>46357</v>
      </c>
      <c r="AY9" s="32">
        <v>46358</v>
      </c>
      <c r="AZ9" s="32">
        <v>46359</v>
      </c>
      <c r="BA9" s="32">
        <v>46360</v>
      </c>
      <c r="BB9" s="32">
        <v>46363</v>
      </c>
      <c r="BC9" s="32">
        <v>46364</v>
      </c>
      <c r="BD9" s="32">
        <v>46365</v>
      </c>
      <c r="BE9" s="32">
        <v>46366</v>
      </c>
      <c r="BF9" s="32">
        <v>46367</v>
      </c>
      <c r="BG9" s="32">
        <v>46370</v>
      </c>
      <c r="BH9" s="32">
        <v>46371</v>
      </c>
      <c r="BI9" s="32">
        <v>46372</v>
      </c>
      <c r="BJ9" s="32">
        <v>46373</v>
      </c>
      <c r="BK9" s="32">
        <v>46374</v>
      </c>
      <c r="BL9" s="32">
        <v>46377</v>
      </c>
      <c r="BM9" s="32">
        <v>46378</v>
      </c>
      <c r="BN9" s="32">
        <v>46379</v>
      </c>
      <c r="BO9" s="32">
        <v>46380</v>
      </c>
      <c r="BP9" s="32">
        <v>46381</v>
      </c>
    </row>
    <row r="10" spans="2:68" ht="20.100000000000001" customHeight="1" x14ac:dyDescent="0.25">
      <c r="B10" s="12"/>
      <c r="C10" s="10"/>
      <c r="D10" s="10"/>
      <c r="E10" s="19"/>
      <c r="F10" s="19"/>
      <c r="G10" s="4"/>
      <c r="H10" s="5"/>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row>
    <row r="11" spans="2:68" ht="24" customHeight="1" x14ac:dyDescent="0.25">
      <c r="B11" s="76" t="s">
        <v>50</v>
      </c>
      <c r="C11" s="9" t="s">
        <v>51</v>
      </c>
      <c r="D11" s="9" t="s">
        <v>52</v>
      </c>
      <c r="E11" s="52">
        <v>46309</v>
      </c>
      <c r="F11" s="52">
        <v>46315</v>
      </c>
      <c r="G11" s="6">
        <f>F11-E11+1</f>
        <v>7</v>
      </c>
      <c r="H11" s="79"/>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row>
    <row r="12" spans="2:68" ht="28.05" customHeight="1" x14ac:dyDescent="0.25">
      <c r="B12" s="77" t="s">
        <v>53</v>
      </c>
      <c r="C12" s="61" t="s">
        <v>54</v>
      </c>
      <c r="D12" s="57" t="s">
        <v>55</v>
      </c>
      <c r="E12" s="58">
        <v>46315</v>
      </c>
      <c r="F12" s="58">
        <v>46315</v>
      </c>
      <c r="G12" s="59">
        <f>F12-E12+1</f>
        <v>1</v>
      </c>
      <c r="H12" s="60"/>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row>
    <row r="13" spans="2:68" ht="24" customHeight="1" x14ac:dyDescent="0.25">
      <c r="B13" s="76" t="s">
        <v>56</v>
      </c>
      <c r="C13" s="9" t="s">
        <v>57</v>
      </c>
      <c r="D13" s="9" t="s">
        <v>52</v>
      </c>
      <c r="E13" s="52">
        <v>46316</v>
      </c>
      <c r="F13" s="52">
        <v>46328</v>
      </c>
      <c r="G13" s="6">
        <f t="shared" ref="G13:G34" si="0">F13-E13+1</f>
        <v>13</v>
      </c>
      <c r="H13" s="79"/>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row>
    <row r="14" spans="2:68" ht="28.05" customHeight="1" x14ac:dyDescent="0.25">
      <c r="B14" s="77" t="s">
        <v>58</v>
      </c>
      <c r="C14" s="61" t="s">
        <v>59</v>
      </c>
      <c r="D14" s="57" t="s">
        <v>55</v>
      </c>
      <c r="E14" s="58">
        <v>46329</v>
      </c>
      <c r="F14" s="58">
        <v>46329</v>
      </c>
      <c r="G14" s="59">
        <f t="shared" si="0"/>
        <v>1</v>
      </c>
      <c r="H14" s="60"/>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row>
    <row r="15" spans="2:68" ht="24" customHeight="1" x14ac:dyDescent="0.25">
      <c r="B15" s="76" t="s">
        <v>60</v>
      </c>
      <c r="C15" s="9" t="s">
        <v>61</v>
      </c>
      <c r="D15" s="9" t="s">
        <v>52</v>
      </c>
      <c r="E15" s="52">
        <v>46330</v>
      </c>
      <c r="F15" s="52">
        <v>46342</v>
      </c>
      <c r="G15" s="6">
        <f t="shared" si="0"/>
        <v>13</v>
      </c>
      <c r="H15" s="79"/>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row>
    <row r="16" spans="2:68" ht="28.05" customHeight="1" x14ac:dyDescent="0.25">
      <c r="B16" s="77" t="s">
        <v>62</v>
      </c>
      <c r="C16" s="61" t="s">
        <v>63</v>
      </c>
      <c r="D16" s="57" t="s">
        <v>64</v>
      </c>
      <c r="E16" s="58">
        <v>46343</v>
      </c>
      <c r="F16" s="58">
        <v>46343</v>
      </c>
      <c r="G16" s="59">
        <f t="shared" si="0"/>
        <v>1</v>
      </c>
      <c r="H16" s="60"/>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row>
    <row r="17" spans="2:68" ht="24" customHeight="1" x14ac:dyDescent="0.25">
      <c r="B17" s="76" t="s">
        <v>65</v>
      </c>
      <c r="C17" s="9" t="s">
        <v>66</v>
      </c>
      <c r="D17" s="9" t="s">
        <v>52</v>
      </c>
      <c r="E17" s="52">
        <v>46344</v>
      </c>
      <c r="F17" s="52">
        <v>46356</v>
      </c>
      <c r="G17" s="6">
        <f t="shared" si="0"/>
        <v>13</v>
      </c>
      <c r="H17" s="79"/>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row>
    <row r="18" spans="2:68" ht="28.05" customHeight="1" x14ac:dyDescent="0.25">
      <c r="B18" s="77" t="s">
        <v>67</v>
      </c>
      <c r="C18" s="61" t="s">
        <v>68</v>
      </c>
      <c r="D18" s="57" t="s">
        <v>55</v>
      </c>
      <c r="E18" s="58">
        <v>46357</v>
      </c>
      <c r="F18" s="58">
        <v>46357</v>
      </c>
      <c r="G18" s="59">
        <f>F18-E18+1</f>
        <v>1</v>
      </c>
      <c r="H18" s="60"/>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row>
    <row r="19" spans="2:68" ht="24" customHeight="1" x14ac:dyDescent="0.25">
      <c r="B19" s="76" t="s">
        <v>69</v>
      </c>
      <c r="C19" s="9" t="s">
        <v>70</v>
      </c>
      <c r="D19" s="9" t="s">
        <v>71</v>
      </c>
      <c r="E19" s="52">
        <v>46358</v>
      </c>
      <c r="F19" s="52">
        <v>46360</v>
      </c>
      <c r="G19" s="6">
        <f t="shared" si="0"/>
        <v>3</v>
      </c>
      <c r="H19" s="79"/>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row>
    <row r="20" spans="2:68" ht="24" customHeight="1" x14ac:dyDescent="0.25">
      <c r="B20" s="78" t="s">
        <v>72</v>
      </c>
      <c r="C20" s="53" t="s">
        <v>73</v>
      </c>
      <c r="D20" s="53" t="s">
        <v>74</v>
      </c>
      <c r="E20" s="54">
        <v>46360</v>
      </c>
      <c r="F20" s="54">
        <v>46367</v>
      </c>
      <c r="G20" s="55">
        <f t="shared" si="0"/>
        <v>8</v>
      </c>
      <c r="H20" s="56"/>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row>
    <row r="21" spans="2:68" ht="24" customHeight="1" x14ac:dyDescent="0.25">
      <c r="B21" s="76" t="s">
        <v>75</v>
      </c>
      <c r="C21" s="9" t="s">
        <v>76</v>
      </c>
      <c r="D21" s="9" t="s">
        <v>77</v>
      </c>
      <c r="E21" s="52">
        <v>46363</v>
      </c>
      <c r="F21" s="52">
        <v>46370</v>
      </c>
      <c r="G21" s="6">
        <f t="shared" si="0"/>
        <v>8</v>
      </c>
      <c r="H21" s="79"/>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row>
    <row r="22" spans="2:68" ht="24" customHeight="1" x14ac:dyDescent="0.25">
      <c r="B22" s="78" t="s">
        <v>78</v>
      </c>
      <c r="C22" s="53" t="s">
        <v>79</v>
      </c>
      <c r="D22" s="53" t="s">
        <v>80</v>
      </c>
      <c r="E22" s="54">
        <v>46360</v>
      </c>
      <c r="F22" s="54">
        <v>46371</v>
      </c>
      <c r="G22" s="55">
        <f t="shared" si="0"/>
        <v>12</v>
      </c>
      <c r="H22" s="56"/>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row>
    <row r="23" spans="2:68" ht="24" customHeight="1" x14ac:dyDescent="0.25">
      <c r="B23" s="76" t="s">
        <v>81</v>
      </c>
      <c r="C23" s="11" t="s">
        <v>82</v>
      </c>
      <c r="D23" s="11" t="s">
        <v>83</v>
      </c>
      <c r="E23" s="62">
        <v>46370</v>
      </c>
      <c r="F23" s="62">
        <v>46371</v>
      </c>
      <c r="G23" s="81">
        <f>F23-E23+1</f>
        <v>2</v>
      </c>
      <c r="H23" s="80"/>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row>
    <row r="24" spans="2:68" ht="28.05" customHeight="1" x14ac:dyDescent="0.25">
      <c r="B24" s="77" t="s">
        <v>84</v>
      </c>
      <c r="C24" s="61" t="s">
        <v>85</v>
      </c>
      <c r="D24" s="57" t="s">
        <v>86</v>
      </c>
      <c r="E24" s="58">
        <v>46371</v>
      </c>
      <c r="F24" s="58">
        <v>46371</v>
      </c>
      <c r="G24" s="59">
        <f t="shared" si="0"/>
        <v>1</v>
      </c>
      <c r="H24" s="60"/>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row>
    <row r="25" spans="2:68" ht="24" customHeight="1" x14ac:dyDescent="0.25">
      <c r="B25" s="76" t="s">
        <v>87</v>
      </c>
      <c r="C25" s="9" t="s">
        <v>88</v>
      </c>
      <c r="D25" s="9" t="s">
        <v>52</v>
      </c>
      <c r="E25" s="52">
        <v>46372</v>
      </c>
      <c r="F25" s="52">
        <v>46374</v>
      </c>
      <c r="G25" s="6">
        <f t="shared" si="0"/>
        <v>3</v>
      </c>
      <c r="H25" s="79"/>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row>
    <row r="26" spans="2:68" ht="28.05" customHeight="1" x14ac:dyDescent="0.25">
      <c r="B26" s="77" t="s">
        <v>89</v>
      </c>
      <c r="C26" s="61" t="s">
        <v>90</v>
      </c>
      <c r="D26" s="57" t="s">
        <v>52</v>
      </c>
      <c r="E26" s="58"/>
      <c r="F26" s="58"/>
      <c r="G26" s="59">
        <f t="shared" si="0"/>
        <v>1</v>
      </c>
      <c r="H26" s="60"/>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row>
    <row r="27" spans="2:68" ht="24" customHeight="1" x14ac:dyDescent="0.25">
      <c r="B27" s="76" t="s">
        <v>91</v>
      </c>
      <c r="C27" s="9" t="s">
        <v>92</v>
      </c>
      <c r="D27" s="9" t="s">
        <v>52</v>
      </c>
      <c r="E27" s="52">
        <v>46307</v>
      </c>
      <c r="F27" s="52">
        <v>46371</v>
      </c>
      <c r="G27" s="6">
        <f t="shared" si="0"/>
        <v>65</v>
      </c>
      <c r="H27" s="79"/>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row>
    <row r="28" spans="2:68" ht="24" customHeight="1" x14ac:dyDescent="0.25">
      <c r="B28" s="78" t="s">
        <v>93</v>
      </c>
      <c r="C28" s="53" t="s">
        <v>94</v>
      </c>
      <c r="D28" s="53" t="s">
        <v>55</v>
      </c>
      <c r="E28" s="54">
        <v>46310</v>
      </c>
      <c r="F28" s="54">
        <v>46371</v>
      </c>
      <c r="G28" s="55">
        <f t="shared" si="0"/>
        <v>62</v>
      </c>
      <c r="H28" s="56"/>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row>
    <row r="29" spans="2:68" ht="20.100000000000001" customHeight="1" x14ac:dyDescent="0.25">
      <c r="B29" s="13"/>
      <c r="C29" s="9"/>
      <c r="D29" s="9"/>
      <c r="E29" s="20"/>
      <c r="F29" s="20"/>
      <c r="G29" s="6">
        <f t="shared" si="0"/>
        <v>1</v>
      </c>
      <c r="H29" s="7"/>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row>
    <row r="30" spans="2:68" ht="20.100000000000001" customHeight="1" x14ac:dyDescent="0.25">
      <c r="B30" s="100" t="s">
        <v>95</v>
      </c>
      <c r="C30" s="101" t="s">
        <v>96</v>
      </c>
      <c r="D30" s="101"/>
      <c r="E30" s="102"/>
      <c r="F30" s="102"/>
      <c r="G30" s="103"/>
      <c r="H30" s="103"/>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row>
    <row r="31" spans="2:68" ht="20.100000000000001" customHeight="1" x14ac:dyDescent="0.25">
      <c r="B31" s="13" t="s">
        <v>97</v>
      </c>
      <c r="C31" s="9" t="s">
        <v>98</v>
      </c>
      <c r="D31" s="9"/>
      <c r="E31" s="20"/>
      <c r="F31" s="20"/>
      <c r="G31" s="6">
        <f t="shared" si="0"/>
        <v>1</v>
      </c>
      <c r="H31" s="7"/>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row>
    <row r="32" spans="2:68" ht="20.100000000000001" customHeight="1" x14ac:dyDescent="0.25">
      <c r="B32" s="13" t="s">
        <v>99</v>
      </c>
      <c r="C32" s="9" t="s">
        <v>100</v>
      </c>
      <c r="D32" s="9"/>
      <c r="E32" s="20"/>
      <c r="F32" s="20"/>
      <c r="G32" s="6">
        <f t="shared" si="0"/>
        <v>1</v>
      </c>
      <c r="H32" s="7"/>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row>
    <row r="33" spans="2:68" ht="20.100000000000001" customHeight="1" x14ac:dyDescent="0.25">
      <c r="B33" s="13"/>
      <c r="C33" s="9"/>
      <c r="D33" s="9"/>
      <c r="E33" s="20"/>
      <c r="F33" s="20"/>
      <c r="G33" s="6">
        <f t="shared" si="0"/>
        <v>1</v>
      </c>
      <c r="H33" s="7"/>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row>
    <row r="34" spans="2:68" ht="20.100000000000001" customHeight="1" x14ac:dyDescent="0.25">
      <c r="B34" s="13"/>
      <c r="C34" s="9"/>
      <c r="D34" s="9"/>
      <c r="E34" s="20"/>
      <c r="F34" s="20"/>
      <c r="G34" s="6">
        <f t="shared" si="0"/>
        <v>1</v>
      </c>
      <c r="H34" s="7"/>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row>
    <row r="35" spans="2:68" x14ac:dyDescent="0.3">
      <c r="B35"/>
      <c r="C35"/>
      <c r="D35"/>
      <c r="G35"/>
      <c r="H3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row>
    <row r="36" spans="2:68" ht="50.1" customHeight="1" x14ac:dyDescent="0.3">
      <c r="B36" s="23"/>
      <c r="C36" s="23"/>
      <c r="D36" s="23"/>
      <c r="E36" s="23"/>
      <c r="F36" s="23"/>
      <c r="G36" s="23"/>
      <c r="H36" s="23"/>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row>
    <row r="37" spans="2:68" x14ac:dyDescent="0.3">
      <c r="B37"/>
      <c r="C37"/>
      <c r="D37"/>
      <c r="G37"/>
      <c r="H37"/>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row>
    <row r="38" spans="2:68" x14ac:dyDescent="0.3">
      <c r="B38"/>
      <c r="C38"/>
      <c r="D38"/>
      <c r="G38"/>
      <c r="H38"/>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row>
    <row r="39" spans="2:68" x14ac:dyDescent="0.3">
      <c r="B39"/>
      <c r="C39"/>
      <c r="D39"/>
      <c r="G39"/>
      <c r="H39"/>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row>
    <row r="40" spans="2:68" x14ac:dyDescent="0.3">
      <c r="B40"/>
      <c r="C40"/>
      <c r="D40"/>
      <c r="G40"/>
      <c r="H40"/>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row>
    <row r="41" spans="2:68" x14ac:dyDescent="0.3">
      <c r="B41"/>
      <c r="C41"/>
      <c r="D41"/>
      <c r="G41"/>
      <c r="H41"/>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row>
    <row r="42" spans="2:68" x14ac:dyDescent="0.3">
      <c r="B42"/>
      <c r="C42"/>
      <c r="D42"/>
      <c r="G42"/>
      <c r="H42"/>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row>
    <row r="43" spans="2:68" x14ac:dyDescent="0.3">
      <c r="B43"/>
      <c r="C43"/>
      <c r="D43"/>
      <c r="G43"/>
      <c r="H43"/>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row>
    <row r="44" spans="2:68" x14ac:dyDescent="0.3">
      <c r="B44"/>
      <c r="C44"/>
      <c r="D44"/>
      <c r="G44"/>
      <c r="H44"/>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row>
    <row r="45" spans="2:68" x14ac:dyDescent="0.3">
      <c r="B45"/>
      <c r="C45"/>
      <c r="D45"/>
      <c r="G45"/>
      <c r="H4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row>
    <row r="46" spans="2:68" x14ac:dyDescent="0.3">
      <c r="B46"/>
      <c r="C46"/>
      <c r="D46"/>
      <c r="G46"/>
      <c r="H46"/>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row>
    <row r="47" spans="2:68" x14ac:dyDescent="0.3">
      <c r="B47"/>
      <c r="C47"/>
      <c r="D47"/>
      <c r="G47"/>
      <c r="H47"/>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row>
    <row r="48" spans="2:68" x14ac:dyDescent="0.3">
      <c r="B48"/>
      <c r="C48"/>
      <c r="D48"/>
      <c r="G48"/>
      <c r="H48"/>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row>
    <row r="49" spans="2:68" x14ac:dyDescent="0.3">
      <c r="B49"/>
      <c r="C49"/>
      <c r="D49"/>
      <c r="G49"/>
      <c r="H49"/>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row>
    <row r="50" spans="2:68" x14ac:dyDescent="0.3">
      <c r="B50"/>
      <c r="C50"/>
      <c r="D50"/>
      <c r="G50"/>
      <c r="H50"/>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row>
    <row r="51" spans="2:68" x14ac:dyDescent="0.3">
      <c r="B51"/>
      <c r="C51"/>
      <c r="D51"/>
      <c r="G51"/>
      <c r="H51"/>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row>
    <row r="52" spans="2:68" x14ac:dyDescent="0.3">
      <c r="B52"/>
      <c r="C52"/>
      <c r="D52"/>
      <c r="G52"/>
      <c r="H52"/>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row>
    <row r="53" spans="2:68" x14ac:dyDescent="0.3">
      <c r="B53"/>
      <c r="C53"/>
      <c r="D53"/>
      <c r="G53"/>
      <c r="H53"/>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row>
    <row r="54" spans="2:68" x14ac:dyDescent="0.3">
      <c r="B54"/>
      <c r="C54"/>
      <c r="D54"/>
      <c r="G54"/>
      <c r="H54"/>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row>
    <row r="55" spans="2:68" x14ac:dyDescent="0.3">
      <c r="B55"/>
      <c r="C55"/>
      <c r="D55"/>
      <c r="G55"/>
      <c r="H5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row>
    <row r="56" spans="2:68" x14ac:dyDescent="0.3">
      <c r="B56"/>
      <c r="C56"/>
      <c r="D56"/>
      <c r="G56"/>
      <c r="H56"/>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row>
    <row r="57" spans="2:68" x14ac:dyDescent="0.3">
      <c r="B57"/>
      <c r="C57"/>
      <c r="D57"/>
      <c r="G57"/>
      <c r="H57"/>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row>
    <row r="58" spans="2:68" x14ac:dyDescent="0.3">
      <c r="B58"/>
      <c r="C58"/>
      <c r="D58"/>
      <c r="G58"/>
      <c r="H58"/>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row>
    <row r="59" spans="2:68" x14ac:dyDescent="0.3">
      <c r="B59"/>
      <c r="C59"/>
      <c r="D59"/>
      <c r="G59"/>
      <c r="H59"/>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row>
    <row r="60" spans="2:68" x14ac:dyDescent="0.3">
      <c r="B60"/>
      <c r="C60"/>
      <c r="D60"/>
      <c r="G60"/>
      <c r="H60"/>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row>
    <row r="61" spans="2:68" x14ac:dyDescent="0.3">
      <c r="B61"/>
      <c r="C61"/>
      <c r="D61"/>
      <c r="G61"/>
      <c r="H61"/>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row>
    <row r="62" spans="2:68" x14ac:dyDescent="0.3">
      <c r="B62"/>
      <c r="C62"/>
      <c r="D62"/>
      <c r="G62"/>
      <c r="H62"/>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row>
    <row r="63" spans="2:68" x14ac:dyDescent="0.3">
      <c r="B63"/>
      <c r="C63"/>
      <c r="D63"/>
      <c r="G63"/>
      <c r="H63"/>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row>
    <row r="64" spans="2:68" x14ac:dyDescent="0.3">
      <c r="B64"/>
      <c r="C64"/>
      <c r="D64"/>
      <c r="G64"/>
      <c r="H64"/>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row>
    <row r="65" spans="2:68" x14ac:dyDescent="0.3">
      <c r="B65"/>
      <c r="C65"/>
      <c r="D65"/>
      <c r="G65"/>
      <c r="H6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row>
    <row r="66" spans="2:68" x14ac:dyDescent="0.3">
      <c r="B66"/>
      <c r="C66"/>
      <c r="D66"/>
      <c r="G66"/>
      <c r="H66"/>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row>
    <row r="67" spans="2:68" x14ac:dyDescent="0.3">
      <c r="B67"/>
      <c r="C67"/>
      <c r="D67"/>
      <c r="G67"/>
      <c r="H67"/>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row>
    <row r="68" spans="2:68" x14ac:dyDescent="0.3">
      <c r="B68"/>
      <c r="C68"/>
      <c r="D68"/>
      <c r="G68"/>
      <c r="H68"/>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row>
    <row r="69" spans="2:68" x14ac:dyDescent="0.3">
      <c r="B69"/>
      <c r="C69"/>
      <c r="D69"/>
      <c r="G69"/>
      <c r="H69"/>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row>
    <row r="70" spans="2:68" x14ac:dyDescent="0.3">
      <c r="B70"/>
      <c r="C70"/>
      <c r="D70"/>
      <c r="G70"/>
      <c r="H70"/>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row>
    <row r="71" spans="2:68" x14ac:dyDescent="0.3">
      <c r="B71"/>
      <c r="C71"/>
      <c r="D71"/>
      <c r="G71"/>
      <c r="H71"/>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row>
    <row r="72" spans="2:68" x14ac:dyDescent="0.3">
      <c r="B72"/>
      <c r="C72"/>
      <c r="D72"/>
      <c r="G72"/>
      <c r="H72"/>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row>
    <row r="73" spans="2:68" x14ac:dyDescent="0.3">
      <c r="B73"/>
      <c r="C73"/>
      <c r="D73"/>
      <c r="G73"/>
      <c r="H73"/>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row>
    <row r="74" spans="2:68" x14ac:dyDescent="0.3">
      <c r="B74"/>
      <c r="C74"/>
      <c r="D74"/>
      <c r="G74"/>
      <c r="H74"/>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row>
    <row r="75" spans="2:68" x14ac:dyDescent="0.3">
      <c r="B75"/>
      <c r="C75"/>
      <c r="D75"/>
      <c r="G75"/>
      <c r="H7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row>
    <row r="76" spans="2:68" x14ac:dyDescent="0.3">
      <c r="B76"/>
      <c r="C76"/>
      <c r="D76"/>
      <c r="G76"/>
      <c r="H76"/>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row>
    <row r="77" spans="2:68" x14ac:dyDescent="0.3">
      <c r="B77"/>
      <c r="C77"/>
      <c r="D77"/>
      <c r="G77"/>
      <c r="H77"/>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row>
    <row r="78" spans="2:68" x14ac:dyDescent="0.3">
      <c r="B78"/>
      <c r="C78"/>
      <c r="D78"/>
      <c r="G78"/>
      <c r="H78"/>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row>
    <row r="79" spans="2:68" x14ac:dyDescent="0.3">
      <c r="B79"/>
      <c r="C79"/>
      <c r="D79"/>
      <c r="G79"/>
      <c r="H79"/>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row>
    <row r="80" spans="2:68" x14ac:dyDescent="0.3">
      <c r="B80"/>
      <c r="C80"/>
      <c r="D80"/>
      <c r="G80"/>
      <c r="H80"/>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row>
    <row r="81" spans="2:68" x14ac:dyDescent="0.3">
      <c r="B81"/>
      <c r="C81"/>
      <c r="D81"/>
      <c r="G81"/>
      <c r="H81"/>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row>
    <row r="82" spans="2:68" x14ac:dyDescent="0.3">
      <c r="B82"/>
      <c r="C82"/>
      <c r="D82"/>
      <c r="G82"/>
      <c r="H82"/>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row>
    <row r="83" spans="2:68" x14ac:dyDescent="0.3">
      <c r="B83"/>
      <c r="C83"/>
      <c r="D83"/>
      <c r="G83"/>
      <c r="H83"/>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row>
    <row r="84" spans="2:68" x14ac:dyDescent="0.3">
      <c r="B84"/>
      <c r="C84"/>
      <c r="D84"/>
      <c r="G84"/>
      <c r="H84"/>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row>
    <row r="85" spans="2:68" x14ac:dyDescent="0.3">
      <c r="B85"/>
      <c r="C85"/>
      <c r="D85"/>
      <c r="G85"/>
      <c r="H8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row>
    <row r="86" spans="2:68" x14ac:dyDescent="0.3">
      <c r="B86"/>
      <c r="C86"/>
      <c r="D86"/>
      <c r="G86"/>
      <c r="H86"/>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row>
    <row r="87" spans="2:68" x14ac:dyDescent="0.3">
      <c r="B87"/>
      <c r="C87"/>
      <c r="D87"/>
      <c r="G87"/>
      <c r="H87"/>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row>
    <row r="88" spans="2:68" x14ac:dyDescent="0.3">
      <c r="B88"/>
      <c r="C88"/>
      <c r="D88"/>
      <c r="G88"/>
      <c r="H88"/>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row>
  </sheetData>
  <mergeCells count="11">
    <mergeCell ref="B8:B9"/>
    <mergeCell ref="C6:D6"/>
    <mergeCell ref="C5:D5"/>
    <mergeCell ref="C4:D4"/>
    <mergeCell ref="C3:D3"/>
    <mergeCell ref="H8:H9"/>
    <mergeCell ref="G8:G9"/>
    <mergeCell ref="F8:F9"/>
    <mergeCell ref="E8:E9"/>
    <mergeCell ref="D8:D9"/>
    <mergeCell ref="C8:C9"/>
  </mergeCells>
  <conditionalFormatting sqref="H10:H29 H31:H34">
    <cfRule type="dataBar" priority="2">
      <dataBar>
        <cfvo type="percent" val="0"/>
        <cfvo type="percent" val="100"/>
        <color theme="5" tint="0.59996337778862885"/>
      </dataBar>
      <extLst>
        <ext xmlns:x14="http://schemas.microsoft.com/office/spreadsheetml/2009/9/main" uri="{B025F937-C7B1-47D3-B67F-A62EFF666E3E}">
          <x14:id>{7FFFBE04-8F21-1E47-9F0B-B5791F64D616}</x14:id>
        </ext>
      </extLst>
    </cfRule>
    <cfRule type="dataBar" priority="5">
      <dataBar>
        <cfvo type="percent" val="0"/>
        <cfvo type="percent" val="100"/>
        <color theme="5" tint="0.59996337778862885"/>
      </dataBar>
      <extLst>
        <ext xmlns:x14="http://schemas.microsoft.com/office/spreadsheetml/2009/9/main" uri="{B025F937-C7B1-47D3-B67F-A62EFF666E3E}">
          <x14:id>{7FFFBE04-8F21-1E47-9F0B-B5791F64D616}</x14:id>
        </ext>
      </extLst>
    </cfRule>
  </conditionalFormatting>
  <conditionalFormatting sqref="I11:BP28">
    <cfRule type="expression" dxfId="5" priority="3">
      <formula>AND(I$9&gt;=$E11,I$9&lt;=$F11,$E11&lt;&gt;"",LEFT($C11,1)&lt;&gt;"◆")</formula>
    </cfRule>
    <cfRule type="expression" dxfId="4" priority="4">
      <formula>AND(I$9&gt;=$E11,I$9&lt;=$F11,$E11&lt;&gt;"",LEFT($C11,1)="◆")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FFFBE04-8F21-1E47-9F0B-B5791F64D616}">
            <x14:dataBar minLength="0" maxLength="100" negativeBarColorSameAsPositive="1" axisPosition="none">
              <x14:cfvo type="percent">
                <xm:f>0</xm:f>
              </x14:cfvo>
              <x14:cfvo type="percent">
                <xm:f>100</xm:f>
              </x14:cfvo>
            </x14:dataBar>
          </x14:cfRule>
          <x14:cfRule type="dataBar" id="{7FFFBE04-8F21-1E47-9F0B-B5791F64D616}">
            <x14:dataBar minLength="0" maxLength="100" gradient="0">
              <x14:cfvo type="percent">
                <xm:f>0</xm:f>
              </x14:cfvo>
              <x14:cfvo type="percent">
                <xm:f>100</xm:f>
              </x14:cfvo>
              <x14:negativeFillColor theme="0"/>
              <x14:axisColor rgb="FF000000"/>
            </x14:dataBar>
          </x14:cfRule>
          <xm:sqref>H10:H29 H31:H34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79995117038483843"/>
  </sheetPr>
  <dimension ref="B1:BP88"/>
  <sheetViews>
    <sheetView showGridLines="0" zoomScale="40" zoomScaleNormal="40" workbookViewId="0">
      <pane ySplit="9" topLeftCell="A51" activePane="bottomLeft" state="frozen"/>
      <selection pane="bottomLeft" activeCell="BQ64" sqref="BQ64"/>
    </sheetView>
  </sheetViews>
  <sheetFormatPr defaultColWidth="10.69921875" defaultRowHeight="15.6" x14ac:dyDescent="0.3"/>
  <cols>
    <col min="1" max="1" width="3.19921875" style="2" customWidth="1"/>
    <col min="2" max="2" width="13" style="2" customWidth="1"/>
    <col min="3" max="3" width="49" style="2" customWidth="1"/>
    <col min="4" max="4" width="15" style="2" customWidth="1"/>
    <col min="5" max="6" width="15" customWidth="1"/>
    <col min="7" max="7" width="14" style="2" customWidth="1"/>
    <col min="8" max="8" width="12" style="2" customWidth="1"/>
    <col min="9" max="68" width="4.296875" customWidth="1"/>
    <col min="69" max="69" width="3.19921875" style="2" customWidth="1"/>
    <col min="70" max="16384" width="10.69921875" style="2"/>
  </cols>
  <sheetData>
    <row r="1" spans="2:68" s="17" customFormat="1" ht="50.1" customHeight="1" x14ac:dyDescent="0.25">
      <c r="B1" s="22" t="s">
        <v>101</v>
      </c>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row>
    <row r="2" spans="2:68" ht="35.1" customHeight="1" x14ac:dyDescent="0.3">
      <c r="B2" s="18" t="s">
        <v>0</v>
      </c>
      <c r="C2" s="116" t="s">
        <v>102</v>
      </c>
      <c r="D2" s="116"/>
      <c r="E2" s="3"/>
      <c r="F2" s="3"/>
      <c r="G2" s="3"/>
      <c r="H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2:68" ht="35.1" customHeight="1" x14ac:dyDescent="0.3">
      <c r="B3" s="18" t="s">
        <v>1</v>
      </c>
      <c r="C3" s="116" t="s">
        <v>7</v>
      </c>
      <c r="D3" s="116"/>
      <c r="E3" s="3"/>
      <c r="F3" s="3"/>
      <c r="G3" s="3"/>
      <c r="H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spans="2:68" ht="35.1" customHeight="1" x14ac:dyDescent="0.3">
      <c r="B4" s="18" t="s">
        <v>2</v>
      </c>
      <c r="C4" s="116" t="s">
        <v>8</v>
      </c>
      <c r="D4" s="116"/>
    </row>
    <row r="5" spans="2:68" ht="35.1" customHeight="1" x14ac:dyDescent="0.25">
      <c r="B5" s="18" t="s">
        <v>3</v>
      </c>
      <c r="C5" s="114">
        <v>46314</v>
      </c>
      <c r="D5" s="115"/>
      <c r="E5" s="1"/>
      <c r="F5" s="1"/>
      <c r="G5" s="1"/>
      <c r="H5" s="1"/>
      <c r="I5" s="125" t="s">
        <v>312</v>
      </c>
      <c r="J5" s="126"/>
      <c r="K5" s="126"/>
      <c r="L5" s="126"/>
      <c r="M5" s="126"/>
      <c r="N5" s="127" t="s">
        <v>9</v>
      </c>
      <c r="O5" s="127"/>
      <c r="P5" s="127"/>
      <c r="Q5" s="127"/>
      <c r="R5" s="127"/>
      <c r="S5" s="127"/>
      <c r="T5" s="127"/>
      <c r="U5" s="127"/>
      <c r="V5" s="127"/>
      <c r="W5" s="128" t="s">
        <v>10</v>
      </c>
      <c r="X5" s="129"/>
      <c r="Y5" s="128"/>
      <c r="Z5" s="128"/>
      <c r="AA5" s="128"/>
      <c r="AB5" s="128"/>
      <c r="AC5" s="128"/>
      <c r="AD5" s="128"/>
      <c r="AE5" s="128"/>
      <c r="AF5" s="128"/>
      <c r="AG5" s="130" t="s">
        <v>11</v>
      </c>
      <c r="AH5" s="130"/>
      <c r="AI5" s="130"/>
      <c r="AJ5" s="130"/>
      <c r="AK5" s="130"/>
      <c r="AL5" s="130"/>
      <c r="AM5" s="131"/>
      <c r="AN5" s="130"/>
      <c r="AO5" s="130"/>
      <c r="AP5" s="130"/>
      <c r="AQ5" s="132" t="s">
        <v>12</v>
      </c>
      <c r="AR5" s="132"/>
      <c r="AS5" s="132"/>
      <c r="AT5" s="132"/>
      <c r="AU5" s="132"/>
      <c r="AV5" s="132"/>
      <c r="AW5" s="132"/>
      <c r="AX5" s="132"/>
      <c r="AY5" s="132"/>
      <c r="AZ5" s="132"/>
      <c r="BA5" s="133" t="s">
        <v>13</v>
      </c>
      <c r="BB5" s="134"/>
      <c r="BC5" s="135"/>
      <c r="BD5" s="135"/>
      <c r="BE5" s="135"/>
      <c r="BF5" s="135"/>
      <c r="BG5" s="135"/>
      <c r="BH5" s="135"/>
      <c r="BI5" s="135"/>
      <c r="BJ5" s="135"/>
      <c r="BK5" s="136" t="s">
        <v>14</v>
      </c>
      <c r="BL5" s="136"/>
      <c r="BM5" s="136"/>
      <c r="BN5" s="136"/>
      <c r="BO5" s="136"/>
      <c r="BP5" s="137"/>
    </row>
    <row r="6" spans="2:68" s="8" customFormat="1" ht="32.4" customHeight="1" x14ac:dyDescent="0.25">
      <c r="B6" s="21"/>
      <c r="C6" s="21"/>
      <c r="D6" s="21"/>
      <c r="E6" s="21"/>
      <c r="F6" s="21"/>
      <c r="G6" s="21"/>
      <c r="H6" s="21"/>
      <c r="I6" s="51" t="s">
        <v>15</v>
      </c>
      <c r="J6" s="51"/>
      <c r="K6" s="51"/>
      <c r="L6" s="51"/>
      <c r="M6" s="51"/>
      <c r="N6" s="51" t="s">
        <v>16</v>
      </c>
      <c r="O6" s="51"/>
      <c r="P6" s="51"/>
      <c r="Q6" s="51"/>
      <c r="R6" s="51"/>
      <c r="S6" s="51" t="s">
        <v>17</v>
      </c>
      <c r="T6" s="51"/>
      <c r="U6" s="51"/>
      <c r="V6" s="51"/>
      <c r="W6" s="51"/>
      <c r="X6" s="51" t="s">
        <v>18</v>
      </c>
      <c r="Y6" s="51"/>
      <c r="Z6" s="51"/>
      <c r="AA6" s="51"/>
      <c r="AB6" s="51"/>
      <c r="AC6" s="51" t="s">
        <v>19</v>
      </c>
      <c r="AD6" s="51"/>
      <c r="AE6" s="51"/>
      <c r="AF6" s="51"/>
      <c r="AG6" s="51"/>
      <c r="AH6" s="51" t="s">
        <v>20</v>
      </c>
      <c r="AI6" s="51"/>
      <c r="AJ6" s="51"/>
      <c r="AK6" s="51"/>
      <c r="AL6" s="51"/>
      <c r="AM6" s="51" t="s">
        <v>21</v>
      </c>
      <c r="AN6" s="51"/>
      <c r="AO6" s="51"/>
      <c r="AP6" s="51"/>
      <c r="AQ6" s="51"/>
      <c r="AR6" s="51" t="s">
        <v>22</v>
      </c>
      <c r="AS6" s="51"/>
      <c r="AT6" s="51"/>
      <c r="AU6" s="51"/>
      <c r="AV6" s="51"/>
      <c r="AW6" s="51" t="s">
        <v>23</v>
      </c>
      <c r="AX6" s="51"/>
      <c r="AY6" s="51"/>
      <c r="AZ6" s="51"/>
      <c r="BA6" s="51"/>
      <c r="BB6" s="51" t="s">
        <v>24</v>
      </c>
      <c r="BC6" s="51"/>
      <c r="BD6" s="51"/>
      <c r="BE6" s="51"/>
      <c r="BF6" s="51"/>
      <c r="BG6" s="51" t="s">
        <v>25</v>
      </c>
      <c r="BH6" s="51"/>
      <c r="BI6" s="51"/>
      <c r="BJ6" s="51"/>
      <c r="BK6" s="51"/>
      <c r="BL6" s="51" t="s">
        <v>26</v>
      </c>
      <c r="BM6" s="51"/>
      <c r="BN6" s="51"/>
      <c r="BO6" s="51"/>
      <c r="BP6" s="51"/>
    </row>
    <row r="7" spans="2:68" ht="18" customHeight="1" x14ac:dyDescent="0.25">
      <c r="B7" s="117" t="s">
        <v>39</v>
      </c>
      <c r="C7" s="117" t="s">
        <v>40</v>
      </c>
      <c r="D7" s="117" t="s">
        <v>41</v>
      </c>
      <c r="E7" s="117" t="s">
        <v>42</v>
      </c>
      <c r="F7" s="117" t="s">
        <v>43</v>
      </c>
      <c r="G7" s="117" t="s">
        <v>44</v>
      </c>
      <c r="H7" s="117" t="s">
        <v>45</v>
      </c>
      <c r="I7" s="44" t="s">
        <v>27</v>
      </c>
      <c r="J7" s="45"/>
      <c r="K7" s="45"/>
      <c r="L7" s="45"/>
      <c r="M7" s="46"/>
      <c r="N7" s="44" t="s">
        <v>28</v>
      </c>
      <c r="O7" s="45"/>
      <c r="P7" s="45"/>
      <c r="Q7" s="45"/>
      <c r="R7" s="46"/>
      <c r="S7" s="44" t="s">
        <v>29</v>
      </c>
      <c r="T7" s="45"/>
      <c r="U7" s="45"/>
      <c r="V7" s="45"/>
      <c r="W7" s="45"/>
      <c r="X7" s="44" t="s">
        <v>30</v>
      </c>
      <c r="Y7" s="45"/>
      <c r="Z7" s="45"/>
      <c r="AA7" s="45"/>
      <c r="AB7" s="46"/>
      <c r="AC7" s="45" t="s">
        <v>31</v>
      </c>
      <c r="AD7" s="45"/>
      <c r="AE7" s="45"/>
      <c r="AF7" s="45"/>
      <c r="AG7" s="46"/>
      <c r="AH7" s="45" t="s">
        <v>32</v>
      </c>
      <c r="AI7" s="45"/>
      <c r="AJ7" s="45"/>
      <c r="AK7" s="45"/>
      <c r="AL7" s="45"/>
      <c r="AM7" s="44" t="s">
        <v>33</v>
      </c>
      <c r="AN7" s="45"/>
      <c r="AO7" s="45"/>
      <c r="AP7" s="45"/>
      <c r="AQ7" s="45"/>
      <c r="AR7" s="44" t="s">
        <v>34</v>
      </c>
      <c r="AS7" s="45"/>
      <c r="AT7" s="45"/>
      <c r="AU7" s="45"/>
      <c r="AV7" s="45"/>
      <c r="AW7" s="44" t="s">
        <v>35</v>
      </c>
      <c r="AX7" s="45"/>
      <c r="AY7" s="45"/>
      <c r="AZ7" s="45"/>
      <c r="BA7" s="45"/>
      <c r="BB7" s="44" t="s">
        <v>36</v>
      </c>
      <c r="BC7" s="45"/>
      <c r="BD7" s="45"/>
      <c r="BE7" s="45"/>
      <c r="BF7" s="45"/>
      <c r="BG7" s="44" t="s">
        <v>37</v>
      </c>
      <c r="BH7" s="45"/>
      <c r="BI7" s="45"/>
      <c r="BJ7" s="45"/>
      <c r="BK7" s="45"/>
      <c r="BL7" s="44" t="s">
        <v>38</v>
      </c>
      <c r="BM7" s="45"/>
      <c r="BN7" s="45"/>
      <c r="BO7" s="45"/>
      <c r="BP7" s="46"/>
    </row>
    <row r="8" spans="2:68" ht="18" customHeight="1" x14ac:dyDescent="0.25">
      <c r="B8" s="118"/>
      <c r="C8" s="118"/>
      <c r="D8" s="118"/>
      <c r="E8" s="118"/>
      <c r="F8" s="118"/>
      <c r="G8" s="118"/>
      <c r="H8" s="118"/>
      <c r="I8" s="47" t="s">
        <v>46</v>
      </c>
      <c r="J8" s="48" t="s">
        <v>47</v>
      </c>
      <c r="K8" s="48" t="s">
        <v>48</v>
      </c>
      <c r="L8" s="48" t="s">
        <v>47</v>
      </c>
      <c r="M8" s="48" t="s">
        <v>49</v>
      </c>
      <c r="N8" s="49" t="s">
        <v>46</v>
      </c>
      <c r="O8" s="49" t="s">
        <v>47</v>
      </c>
      <c r="P8" s="49" t="s">
        <v>48</v>
      </c>
      <c r="Q8" s="49" t="s">
        <v>47</v>
      </c>
      <c r="R8" s="49" t="s">
        <v>49</v>
      </c>
      <c r="S8" s="49" t="s">
        <v>46</v>
      </c>
      <c r="T8" s="49" t="s">
        <v>47</v>
      </c>
      <c r="U8" s="49" t="s">
        <v>48</v>
      </c>
      <c r="V8" s="49" t="s">
        <v>47</v>
      </c>
      <c r="W8" s="49" t="s">
        <v>49</v>
      </c>
      <c r="X8" s="48" t="s">
        <v>46</v>
      </c>
      <c r="Y8" s="48" t="s">
        <v>47</v>
      </c>
      <c r="Z8" s="48" t="s">
        <v>48</v>
      </c>
      <c r="AA8" s="48" t="s">
        <v>47</v>
      </c>
      <c r="AB8" s="48" t="s">
        <v>49</v>
      </c>
      <c r="AC8" s="48" t="s">
        <v>46</v>
      </c>
      <c r="AD8" s="48" t="s">
        <v>47</v>
      </c>
      <c r="AE8" s="48" t="s">
        <v>48</v>
      </c>
      <c r="AF8" s="48" t="s">
        <v>47</v>
      </c>
      <c r="AG8" s="48" t="s">
        <v>49</v>
      </c>
      <c r="AH8" s="48" t="s">
        <v>46</v>
      </c>
      <c r="AI8" s="48" t="s">
        <v>47</v>
      </c>
      <c r="AJ8" s="48" t="s">
        <v>48</v>
      </c>
      <c r="AK8" s="48" t="s">
        <v>47</v>
      </c>
      <c r="AL8" s="48" t="s">
        <v>49</v>
      </c>
      <c r="AM8" s="48" t="s">
        <v>46</v>
      </c>
      <c r="AN8" s="48" t="s">
        <v>47</v>
      </c>
      <c r="AO8" s="48" t="s">
        <v>48</v>
      </c>
      <c r="AP8" s="48" t="s">
        <v>47</v>
      </c>
      <c r="AQ8" s="48" t="s">
        <v>49</v>
      </c>
      <c r="AR8" s="48" t="s">
        <v>46</v>
      </c>
      <c r="AS8" s="48" t="s">
        <v>47</v>
      </c>
      <c r="AT8" s="48" t="s">
        <v>48</v>
      </c>
      <c r="AU8" s="48" t="s">
        <v>47</v>
      </c>
      <c r="AV8" s="48" t="s">
        <v>49</v>
      </c>
      <c r="AW8" s="48" t="s">
        <v>46</v>
      </c>
      <c r="AX8" s="48" t="s">
        <v>47</v>
      </c>
      <c r="AY8" s="48" t="s">
        <v>48</v>
      </c>
      <c r="AZ8" s="48" t="s">
        <v>47</v>
      </c>
      <c r="BA8" s="48" t="s">
        <v>49</v>
      </c>
      <c r="BB8" s="48" t="s">
        <v>46</v>
      </c>
      <c r="BC8" s="48" t="s">
        <v>47</v>
      </c>
      <c r="BD8" s="48" t="s">
        <v>48</v>
      </c>
      <c r="BE8" s="48" t="s">
        <v>47</v>
      </c>
      <c r="BF8" s="48" t="s">
        <v>49</v>
      </c>
      <c r="BG8" s="48" t="s">
        <v>46</v>
      </c>
      <c r="BH8" s="48" t="s">
        <v>47</v>
      </c>
      <c r="BI8" s="48" t="s">
        <v>48</v>
      </c>
      <c r="BJ8" s="48" t="s">
        <v>47</v>
      </c>
      <c r="BK8" s="48" t="s">
        <v>49</v>
      </c>
      <c r="BL8" s="48" t="s">
        <v>46</v>
      </c>
      <c r="BM8" s="48" t="s">
        <v>47</v>
      </c>
      <c r="BN8" s="48" t="s">
        <v>48</v>
      </c>
      <c r="BO8" s="48" t="s">
        <v>47</v>
      </c>
      <c r="BP8" s="48" t="s">
        <v>49</v>
      </c>
    </row>
    <row r="9" spans="2:68" ht="18" customHeight="1" x14ac:dyDescent="0.25">
      <c r="B9" s="12"/>
      <c r="C9" s="10"/>
      <c r="D9" s="10"/>
      <c r="E9" s="19"/>
      <c r="F9" s="19"/>
      <c r="G9" s="4"/>
      <c r="H9" s="5"/>
      <c r="I9" s="50">
        <v>46300</v>
      </c>
      <c r="J9" s="50">
        <v>46301</v>
      </c>
      <c r="K9" s="50">
        <v>46302</v>
      </c>
      <c r="L9" s="50">
        <v>46303</v>
      </c>
      <c r="M9" s="50">
        <v>46304</v>
      </c>
      <c r="N9" s="50">
        <v>46307</v>
      </c>
      <c r="O9" s="50">
        <v>46308</v>
      </c>
      <c r="P9" s="50">
        <v>46309</v>
      </c>
      <c r="Q9" s="50">
        <v>46310</v>
      </c>
      <c r="R9" s="50">
        <v>46311</v>
      </c>
      <c r="S9" s="50">
        <v>46314</v>
      </c>
      <c r="T9" s="50">
        <v>46315</v>
      </c>
      <c r="U9" s="50">
        <v>46316</v>
      </c>
      <c r="V9" s="50">
        <v>46317</v>
      </c>
      <c r="W9" s="50">
        <v>46318</v>
      </c>
      <c r="X9" s="50">
        <v>46321</v>
      </c>
      <c r="Y9" s="50">
        <v>46322</v>
      </c>
      <c r="Z9" s="50">
        <v>46323</v>
      </c>
      <c r="AA9" s="50">
        <v>46324</v>
      </c>
      <c r="AB9" s="50">
        <v>46325</v>
      </c>
      <c r="AC9" s="50">
        <v>46328</v>
      </c>
      <c r="AD9" s="50">
        <v>46329</v>
      </c>
      <c r="AE9" s="50">
        <v>46330</v>
      </c>
      <c r="AF9" s="50">
        <v>46331</v>
      </c>
      <c r="AG9" s="50">
        <v>46332</v>
      </c>
      <c r="AH9" s="50">
        <v>46335</v>
      </c>
      <c r="AI9" s="50">
        <v>46336</v>
      </c>
      <c r="AJ9" s="50">
        <v>46337</v>
      </c>
      <c r="AK9" s="50">
        <v>46338</v>
      </c>
      <c r="AL9" s="50">
        <v>46339</v>
      </c>
      <c r="AM9" s="50">
        <v>46342</v>
      </c>
      <c r="AN9" s="50">
        <v>46343</v>
      </c>
      <c r="AO9" s="50">
        <v>46344</v>
      </c>
      <c r="AP9" s="50">
        <v>46345</v>
      </c>
      <c r="AQ9" s="50">
        <v>46346</v>
      </c>
      <c r="AR9" s="50">
        <v>46349</v>
      </c>
      <c r="AS9" s="50">
        <v>46350</v>
      </c>
      <c r="AT9" s="50">
        <v>46351</v>
      </c>
      <c r="AU9" s="50">
        <v>46352</v>
      </c>
      <c r="AV9" s="50">
        <v>46353</v>
      </c>
      <c r="AW9" s="50">
        <v>46356</v>
      </c>
      <c r="AX9" s="50">
        <v>46357</v>
      </c>
      <c r="AY9" s="50">
        <v>46358</v>
      </c>
      <c r="AZ9" s="50">
        <v>46359</v>
      </c>
      <c r="BA9" s="50">
        <v>46360</v>
      </c>
      <c r="BB9" s="50">
        <v>46363</v>
      </c>
      <c r="BC9" s="50">
        <v>46364</v>
      </c>
      <c r="BD9" s="50">
        <v>46365</v>
      </c>
      <c r="BE9" s="50">
        <v>46366</v>
      </c>
      <c r="BF9" s="50">
        <v>46367</v>
      </c>
      <c r="BG9" s="50">
        <v>46370</v>
      </c>
      <c r="BH9" s="50">
        <v>46371</v>
      </c>
      <c r="BI9" s="50">
        <v>46372</v>
      </c>
      <c r="BJ9" s="50">
        <v>46373</v>
      </c>
      <c r="BK9" s="50">
        <v>46374</v>
      </c>
      <c r="BL9" s="50">
        <v>46377</v>
      </c>
      <c r="BM9" s="50">
        <v>46378</v>
      </c>
      <c r="BN9" s="50">
        <v>46379</v>
      </c>
      <c r="BO9" s="50">
        <v>46380</v>
      </c>
      <c r="BP9" s="50">
        <v>46381</v>
      </c>
    </row>
    <row r="10" spans="2:68" ht="20.100000000000001" customHeight="1" x14ac:dyDescent="0.25">
      <c r="B10" s="13"/>
      <c r="C10" s="9"/>
      <c r="D10" s="9"/>
      <c r="E10" s="20"/>
      <c r="F10" s="20"/>
      <c r="G10" s="6"/>
      <c r="H10" s="7"/>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row>
    <row r="11" spans="2:68" ht="24" customHeight="1" x14ac:dyDescent="0.25">
      <c r="B11" s="83" t="s">
        <v>50</v>
      </c>
      <c r="C11" s="63" t="s">
        <v>103</v>
      </c>
      <c r="D11" s="63"/>
      <c r="E11" s="64"/>
      <c r="F11" s="64"/>
      <c r="G11" s="65"/>
      <c r="H11" s="66"/>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row>
    <row r="12" spans="2:68" ht="24" customHeight="1" x14ac:dyDescent="0.25">
      <c r="B12" s="76" t="s">
        <v>104</v>
      </c>
      <c r="C12" s="9" t="s">
        <v>105</v>
      </c>
      <c r="D12" s="9" t="s">
        <v>64</v>
      </c>
      <c r="E12" s="52">
        <v>46309</v>
      </c>
      <c r="F12" s="52">
        <v>46310</v>
      </c>
      <c r="G12" s="6">
        <f t="shared" ref="G12:G25" si="0">F12-E12+1</f>
        <v>2</v>
      </c>
      <c r="H12" s="79"/>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row>
    <row r="13" spans="2:68" ht="24" customHeight="1" x14ac:dyDescent="0.25">
      <c r="B13" s="84" t="s">
        <v>106</v>
      </c>
      <c r="C13" s="68" t="s">
        <v>107</v>
      </c>
      <c r="D13" s="68" t="s">
        <v>64</v>
      </c>
      <c r="E13" s="69">
        <v>46311</v>
      </c>
      <c r="F13" s="69">
        <v>46314</v>
      </c>
      <c r="G13" s="70">
        <f t="shared" si="0"/>
        <v>4</v>
      </c>
      <c r="H13" s="71"/>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row>
    <row r="14" spans="2:68" ht="24" customHeight="1" x14ac:dyDescent="0.25">
      <c r="B14" s="76" t="s">
        <v>108</v>
      </c>
      <c r="C14" s="9" t="s">
        <v>109</v>
      </c>
      <c r="D14" s="9" t="s">
        <v>64</v>
      </c>
      <c r="E14" s="52">
        <v>46311</v>
      </c>
      <c r="F14" s="52">
        <v>46314</v>
      </c>
      <c r="G14" s="6">
        <f t="shared" si="0"/>
        <v>4</v>
      </c>
      <c r="H14" s="79"/>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row>
    <row r="15" spans="2:68" ht="24" customHeight="1" x14ac:dyDescent="0.25">
      <c r="B15" s="84" t="s">
        <v>110</v>
      </c>
      <c r="C15" s="68" t="s">
        <v>111</v>
      </c>
      <c r="D15" s="68" t="s">
        <v>112</v>
      </c>
      <c r="E15" s="69">
        <v>46310</v>
      </c>
      <c r="F15" s="69">
        <v>46311</v>
      </c>
      <c r="G15" s="70">
        <f t="shared" si="0"/>
        <v>2</v>
      </c>
      <c r="H15" s="71"/>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row>
    <row r="16" spans="2:68" ht="24" customHeight="1" x14ac:dyDescent="0.25">
      <c r="B16" s="76" t="s">
        <v>113</v>
      </c>
      <c r="C16" s="9" t="s">
        <v>114</v>
      </c>
      <c r="D16" s="9" t="s">
        <v>112</v>
      </c>
      <c r="E16" s="52">
        <v>46311</v>
      </c>
      <c r="F16" s="52">
        <v>46314</v>
      </c>
      <c r="G16" s="6">
        <f t="shared" si="0"/>
        <v>4</v>
      </c>
      <c r="H16" s="79"/>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row>
    <row r="17" spans="2:68" ht="24" customHeight="1" x14ac:dyDescent="0.25">
      <c r="B17" s="84" t="s">
        <v>115</v>
      </c>
      <c r="C17" s="68" t="s">
        <v>116</v>
      </c>
      <c r="D17" s="68" t="s">
        <v>112</v>
      </c>
      <c r="E17" s="69">
        <v>46311</v>
      </c>
      <c r="F17" s="69">
        <v>46314</v>
      </c>
      <c r="G17" s="70">
        <f t="shared" si="0"/>
        <v>4</v>
      </c>
      <c r="H17" s="71"/>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row>
    <row r="18" spans="2:68" ht="24" customHeight="1" x14ac:dyDescent="0.25">
      <c r="B18" s="76" t="s">
        <v>117</v>
      </c>
      <c r="C18" s="9" t="s">
        <v>118</v>
      </c>
      <c r="D18" s="9" t="s">
        <v>55</v>
      </c>
      <c r="E18" s="52">
        <v>46310</v>
      </c>
      <c r="F18" s="52">
        <v>46314</v>
      </c>
      <c r="G18" s="6">
        <f t="shared" si="0"/>
        <v>5</v>
      </c>
      <c r="H18" s="79"/>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row>
    <row r="19" spans="2:68" ht="24" customHeight="1" x14ac:dyDescent="0.25">
      <c r="B19" s="84" t="s">
        <v>119</v>
      </c>
      <c r="C19" s="68" t="s">
        <v>120</v>
      </c>
      <c r="D19" s="68" t="s">
        <v>55</v>
      </c>
      <c r="E19" s="69">
        <v>46311</v>
      </c>
      <c r="F19" s="69">
        <v>46314</v>
      </c>
      <c r="G19" s="70">
        <f t="shared" si="0"/>
        <v>4</v>
      </c>
      <c r="H19" s="71"/>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row>
    <row r="20" spans="2:68" ht="24" customHeight="1" x14ac:dyDescent="0.25">
      <c r="B20" s="76" t="s">
        <v>121</v>
      </c>
      <c r="C20" s="9" t="s">
        <v>122</v>
      </c>
      <c r="D20" s="9" t="s">
        <v>55</v>
      </c>
      <c r="E20" s="52">
        <v>46314</v>
      </c>
      <c r="F20" s="52">
        <v>46315</v>
      </c>
      <c r="G20" s="6">
        <f t="shared" si="0"/>
        <v>2</v>
      </c>
      <c r="H20" s="79"/>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row>
    <row r="21" spans="2:68" ht="24" customHeight="1" x14ac:dyDescent="0.25">
      <c r="B21" s="84" t="s">
        <v>123</v>
      </c>
      <c r="C21" s="68" t="s">
        <v>124</v>
      </c>
      <c r="D21" s="68" t="s">
        <v>86</v>
      </c>
      <c r="E21" s="69">
        <v>46314</v>
      </c>
      <c r="F21" s="69">
        <v>46315</v>
      </c>
      <c r="G21" s="70">
        <f t="shared" si="0"/>
        <v>2</v>
      </c>
      <c r="H21" s="71"/>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row>
    <row r="22" spans="2:68" ht="24" customHeight="1" x14ac:dyDescent="0.25">
      <c r="B22" s="76" t="s">
        <v>125</v>
      </c>
      <c r="C22" s="11" t="s">
        <v>126</v>
      </c>
      <c r="D22" s="11" t="s">
        <v>86</v>
      </c>
      <c r="E22" s="62">
        <v>46314</v>
      </c>
      <c r="F22" s="62">
        <v>46315</v>
      </c>
      <c r="G22" s="81">
        <f t="shared" si="0"/>
        <v>2</v>
      </c>
      <c r="H22" s="80"/>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row>
    <row r="23" spans="2:68" ht="24" customHeight="1" x14ac:dyDescent="0.25">
      <c r="B23" s="84" t="s">
        <v>127</v>
      </c>
      <c r="C23" s="68" t="s">
        <v>128</v>
      </c>
      <c r="D23" s="68" t="s">
        <v>86</v>
      </c>
      <c r="E23" s="69">
        <v>46314</v>
      </c>
      <c r="F23" s="69">
        <v>46315</v>
      </c>
      <c r="G23" s="70">
        <f t="shared" si="0"/>
        <v>2</v>
      </c>
      <c r="H23" s="71"/>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row>
    <row r="24" spans="2:68" ht="24" customHeight="1" x14ac:dyDescent="0.25">
      <c r="B24" s="76" t="s">
        <v>129</v>
      </c>
      <c r="C24" s="9" t="s">
        <v>130</v>
      </c>
      <c r="D24" s="9" t="s">
        <v>112</v>
      </c>
      <c r="E24" s="52">
        <v>46310</v>
      </c>
      <c r="F24" s="52">
        <v>46315</v>
      </c>
      <c r="G24" s="6">
        <f t="shared" si="0"/>
        <v>6</v>
      </c>
      <c r="H24" s="79"/>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row>
    <row r="25" spans="2:68" ht="24" customHeight="1" x14ac:dyDescent="0.25">
      <c r="B25" s="84" t="s">
        <v>53</v>
      </c>
      <c r="C25" s="73" t="s">
        <v>131</v>
      </c>
      <c r="D25" s="68" t="s">
        <v>55</v>
      </c>
      <c r="E25" s="69">
        <v>46315</v>
      </c>
      <c r="F25" s="69">
        <v>46315</v>
      </c>
      <c r="G25" s="70">
        <f t="shared" si="0"/>
        <v>1</v>
      </c>
      <c r="H25" s="71"/>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row>
    <row r="26" spans="2:68" ht="24" customHeight="1" x14ac:dyDescent="0.25">
      <c r="B26" s="83" t="s">
        <v>56</v>
      </c>
      <c r="C26" s="63" t="s">
        <v>132</v>
      </c>
      <c r="D26" s="63"/>
      <c r="E26" s="64"/>
      <c r="F26" s="64"/>
      <c r="G26" s="65"/>
      <c r="H26" s="66"/>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row>
    <row r="27" spans="2:68" ht="24" customHeight="1" x14ac:dyDescent="0.25">
      <c r="B27" s="84" t="s">
        <v>133</v>
      </c>
      <c r="C27" s="68" t="s">
        <v>134</v>
      </c>
      <c r="D27" s="68" t="s">
        <v>64</v>
      </c>
      <c r="E27" s="69">
        <v>46316</v>
      </c>
      <c r="F27" s="69">
        <v>46318</v>
      </c>
      <c r="G27" s="70">
        <f t="shared" ref="G27:G33" si="1">F27-E27+1</f>
        <v>3</v>
      </c>
      <c r="H27" s="71"/>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row>
    <row r="28" spans="2:68" ht="24" customHeight="1" x14ac:dyDescent="0.25">
      <c r="B28" s="76" t="s">
        <v>135</v>
      </c>
      <c r="C28" s="9" t="s">
        <v>136</v>
      </c>
      <c r="D28" s="9" t="s">
        <v>86</v>
      </c>
      <c r="E28" s="52">
        <v>46316</v>
      </c>
      <c r="F28" s="52">
        <v>46321</v>
      </c>
      <c r="G28" s="6">
        <f t="shared" si="1"/>
        <v>6</v>
      </c>
      <c r="H28" s="79"/>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row>
    <row r="29" spans="2:68" ht="24" customHeight="1" x14ac:dyDescent="0.25">
      <c r="B29" s="84" t="s">
        <v>137</v>
      </c>
      <c r="C29" s="68" t="s">
        <v>138</v>
      </c>
      <c r="D29" s="68" t="s">
        <v>64</v>
      </c>
      <c r="E29" s="69">
        <v>46318</v>
      </c>
      <c r="F29" s="69">
        <v>46322</v>
      </c>
      <c r="G29" s="70">
        <f t="shared" si="1"/>
        <v>5</v>
      </c>
      <c r="H29" s="72"/>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row>
    <row r="30" spans="2:68" ht="24" customHeight="1" x14ac:dyDescent="0.25">
      <c r="B30" s="76" t="s">
        <v>139</v>
      </c>
      <c r="C30" s="9" t="s">
        <v>140</v>
      </c>
      <c r="D30" s="9" t="s">
        <v>55</v>
      </c>
      <c r="E30" s="52">
        <v>46322</v>
      </c>
      <c r="F30" s="52">
        <v>46325</v>
      </c>
      <c r="G30" s="6">
        <f t="shared" si="1"/>
        <v>4</v>
      </c>
      <c r="H30" s="79"/>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row>
    <row r="31" spans="2:68" ht="24" customHeight="1" x14ac:dyDescent="0.25">
      <c r="B31" s="84" t="s">
        <v>141</v>
      </c>
      <c r="C31" s="68" t="s">
        <v>142</v>
      </c>
      <c r="D31" s="68" t="s">
        <v>112</v>
      </c>
      <c r="E31" s="69">
        <v>46317</v>
      </c>
      <c r="F31" s="69">
        <v>46324</v>
      </c>
      <c r="G31" s="70">
        <f t="shared" si="1"/>
        <v>8</v>
      </c>
      <c r="H31" s="71"/>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row>
    <row r="32" spans="2:68" ht="24" customHeight="1" x14ac:dyDescent="0.25">
      <c r="B32" s="76" t="s">
        <v>143</v>
      </c>
      <c r="C32" s="9" t="s">
        <v>144</v>
      </c>
      <c r="D32" s="9" t="s">
        <v>86</v>
      </c>
      <c r="E32" s="52">
        <v>46325</v>
      </c>
      <c r="F32" s="52">
        <v>46328</v>
      </c>
      <c r="G32" s="6">
        <f t="shared" si="1"/>
        <v>4</v>
      </c>
      <c r="H32" s="79"/>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row>
    <row r="33" spans="2:68" ht="24" customHeight="1" x14ac:dyDescent="0.25">
      <c r="B33" s="84" t="s">
        <v>58</v>
      </c>
      <c r="C33" s="73" t="s">
        <v>145</v>
      </c>
      <c r="D33" s="68" t="s">
        <v>55</v>
      </c>
      <c r="E33" s="69">
        <v>46328</v>
      </c>
      <c r="F33" s="69">
        <v>46329</v>
      </c>
      <c r="G33" s="70">
        <f t="shared" si="1"/>
        <v>2</v>
      </c>
      <c r="H33" s="71"/>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row>
    <row r="34" spans="2:68" ht="24" customHeight="1" x14ac:dyDescent="0.3">
      <c r="B34" s="138" t="s">
        <v>60</v>
      </c>
      <c r="C34" s="139" t="s">
        <v>146</v>
      </c>
      <c r="D34" s="140"/>
      <c r="E34" s="140"/>
      <c r="F34" s="140"/>
      <c r="G34" s="141"/>
      <c r="H34" s="142"/>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3"/>
      <c r="BP34" s="143"/>
    </row>
    <row r="35" spans="2:68" ht="24" customHeight="1" x14ac:dyDescent="0.45">
      <c r="B35" s="144" t="s">
        <v>147</v>
      </c>
      <c r="C35" s="145" t="s">
        <v>148</v>
      </c>
      <c r="D35" s="146" t="s">
        <v>112</v>
      </c>
      <c r="E35" s="147">
        <v>46330</v>
      </c>
      <c r="F35" s="147">
        <v>46335</v>
      </c>
      <c r="G35" s="148">
        <f t="shared" ref="G35:G42" si="2">F35-E35+1</f>
        <v>6</v>
      </c>
      <c r="H35" s="146"/>
      <c r="I35" s="149"/>
      <c r="J35" s="149"/>
      <c r="K35" s="149"/>
      <c r="L35" s="149"/>
      <c r="M35" s="149"/>
      <c r="N35" s="149"/>
      <c r="O35" s="149"/>
      <c r="P35" s="149"/>
      <c r="Q35" s="149"/>
      <c r="R35" s="149"/>
      <c r="S35" s="149"/>
      <c r="T35" s="149"/>
      <c r="U35" s="149"/>
      <c r="V35" s="149"/>
      <c r="W35" s="149"/>
      <c r="X35" s="149"/>
      <c r="Y35" s="150"/>
      <c r="Z35" s="150"/>
      <c r="AA35" s="150"/>
      <c r="AB35" s="150"/>
      <c r="AC35" s="150"/>
      <c r="AD35" s="150"/>
      <c r="AE35" s="150"/>
      <c r="AF35" s="150"/>
      <c r="AG35" s="150"/>
      <c r="AH35" s="150"/>
      <c r="AI35" s="150"/>
      <c r="AJ35" s="150"/>
      <c r="AK35" s="150"/>
      <c r="AL35" s="150"/>
      <c r="AM35" s="151"/>
      <c r="AN35" s="151"/>
      <c r="AO35" s="151"/>
      <c r="AP35" s="151"/>
      <c r="AQ35" s="151"/>
      <c r="AR35" s="151"/>
      <c r="AS35" s="151"/>
      <c r="AT35" s="151"/>
      <c r="AU35" s="151"/>
      <c r="AV35" s="151"/>
      <c r="AW35" s="151"/>
      <c r="AX35" s="151"/>
      <c r="AY35" s="151"/>
      <c r="AZ35" s="151"/>
      <c r="BA35" s="151"/>
      <c r="BB35" s="151"/>
      <c r="BC35" s="151"/>
      <c r="BD35" s="151"/>
      <c r="BE35" s="151"/>
      <c r="BF35" s="151"/>
      <c r="BG35" s="151"/>
      <c r="BH35" s="151"/>
      <c r="BI35" s="151"/>
      <c r="BJ35" s="151"/>
      <c r="BK35" s="151"/>
      <c r="BL35" s="151"/>
      <c r="BM35" s="151"/>
      <c r="BN35" s="151"/>
      <c r="BO35" s="151"/>
      <c r="BP35" s="151"/>
    </row>
    <row r="36" spans="2:68" ht="24" customHeight="1" x14ac:dyDescent="0.3">
      <c r="B36" s="152" t="s">
        <v>149</v>
      </c>
      <c r="C36" s="153" t="s">
        <v>150</v>
      </c>
      <c r="D36" s="154" t="s">
        <v>55</v>
      </c>
      <c r="E36" s="155">
        <v>46335</v>
      </c>
      <c r="F36" s="155">
        <v>46338</v>
      </c>
      <c r="G36" s="156">
        <f t="shared" si="2"/>
        <v>4</v>
      </c>
      <c r="H36" s="157"/>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c r="BC36" s="151"/>
      <c r="BD36" s="151"/>
      <c r="BE36" s="151"/>
      <c r="BF36" s="151"/>
      <c r="BG36" s="151"/>
      <c r="BH36" s="151"/>
      <c r="BI36" s="151"/>
      <c r="BJ36" s="151"/>
      <c r="BK36" s="151"/>
      <c r="BL36" s="151"/>
      <c r="BM36" s="151"/>
      <c r="BN36" s="151"/>
      <c r="BO36" s="151"/>
      <c r="BP36" s="151"/>
    </row>
    <row r="37" spans="2:68" ht="24" customHeight="1" x14ac:dyDescent="0.3">
      <c r="B37" s="158" t="s">
        <v>151</v>
      </c>
      <c r="C37" s="159" t="s">
        <v>152</v>
      </c>
      <c r="D37" s="160" t="s">
        <v>64</v>
      </c>
      <c r="E37" s="161">
        <v>46331</v>
      </c>
      <c r="F37" s="161">
        <v>46336</v>
      </c>
      <c r="G37" s="162">
        <f t="shared" si="2"/>
        <v>6</v>
      </c>
      <c r="H37" s="163"/>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151"/>
      <c r="AS37" s="151"/>
      <c r="AT37" s="151"/>
      <c r="AU37" s="151"/>
      <c r="AV37" s="151"/>
      <c r="AW37" s="151"/>
      <c r="AX37" s="151"/>
      <c r="AY37" s="151"/>
      <c r="AZ37" s="151"/>
      <c r="BA37" s="151"/>
      <c r="BB37" s="151"/>
      <c r="BC37" s="151"/>
      <c r="BD37" s="151"/>
      <c r="BE37" s="151"/>
      <c r="BF37" s="151"/>
      <c r="BG37" s="151"/>
      <c r="BH37" s="151"/>
      <c r="BI37" s="151"/>
      <c r="BJ37" s="151"/>
      <c r="BK37" s="151"/>
      <c r="BL37" s="151"/>
      <c r="BM37" s="151"/>
      <c r="BN37" s="151"/>
      <c r="BO37" s="151"/>
      <c r="BP37" s="151"/>
    </row>
    <row r="38" spans="2:68" ht="24" customHeight="1" x14ac:dyDescent="0.3">
      <c r="B38" s="152" t="s">
        <v>153</v>
      </c>
      <c r="C38" s="153" t="s">
        <v>154</v>
      </c>
      <c r="D38" s="154" t="s">
        <v>55</v>
      </c>
      <c r="E38" s="155">
        <v>46336</v>
      </c>
      <c r="F38" s="155">
        <v>46339</v>
      </c>
      <c r="G38" s="156">
        <f t="shared" si="2"/>
        <v>4</v>
      </c>
      <c r="H38" s="157"/>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151"/>
      <c r="AS38" s="151"/>
      <c r="AT38" s="151"/>
      <c r="AU38" s="151"/>
      <c r="AV38" s="151"/>
      <c r="AW38" s="151"/>
      <c r="AX38" s="151"/>
      <c r="AY38" s="151"/>
      <c r="AZ38" s="151"/>
      <c r="BA38" s="151"/>
      <c r="BB38" s="151"/>
      <c r="BC38" s="151"/>
      <c r="BD38" s="151"/>
      <c r="BE38" s="151"/>
      <c r="BF38" s="151"/>
      <c r="BG38" s="151"/>
      <c r="BH38" s="151"/>
      <c r="BI38" s="151"/>
      <c r="BJ38" s="151"/>
      <c r="BK38" s="151"/>
      <c r="BL38" s="151"/>
      <c r="BM38" s="151"/>
      <c r="BN38" s="151"/>
      <c r="BO38" s="151"/>
      <c r="BP38" s="151"/>
    </row>
    <row r="39" spans="2:68" ht="24" customHeight="1" x14ac:dyDescent="0.3">
      <c r="B39" s="158" t="s">
        <v>155</v>
      </c>
      <c r="C39" s="159" t="s">
        <v>156</v>
      </c>
      <c r="D39" s="160" t="s">
        <v>86</v>
      </c>
      <c r="E39" s="161">
        <v>46331</v>
      </c>
      <c r="F39" s="161">
        <v>46336</v>
      </c>
      <c r="G39" s="162">
        <f t="shared" si="2"/>
        <v>6</v>
      </c>
      <c r="H39" s="163"/>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151"/>
      <c r="AS39" s="151"/>
      <c r="AT39" s="151"/>
      <c r="AU39" s="151"/>
      <c r="AV39" s="151"/>
      <c r="AW39" s="151"/>
      <c r="AX39" s="151"/>
      <c r="AY39" s="151"/>
      <c r="AZ39" s="151"/>
      <c r="BA39" s="151"/>
      <c r="BB39" s="151"/>
      <c r="BC39" s="151"/>
      <c r="BD39" s="151"/>
      <c r="BE39" s="151"/>
      <c r="BF39" s="151"/>
      <c r="BG39" s="151"/>
      <c r="BH39" s="151"/>
      <c r="BI39" s="151"/>
      <c r="BJ39" s="151"/>
      <c r="BK39" s="151"/>
      <c r="BL39" s="151"/>
      <c r="BM39" s="151"/>
      <c r="BN39" s="151"/>
      <c r="BO39" s="151"/>
      <c r="BP39" s="151"/>
    </row>
    <row r="40" spans="2:68" ht="24" customHeight="1" x14ac:dyDescent="0.3">
      <c r="B40" s="152" t="s">
        <v>157</v>
      </c>
      <c r="C40" s="153" t="s">
        <v>158</v>
      </c>
      <c r="D40" s="154" t="s">
        <v>86</v>
      </c>
      <c r="E40" s="155">
        <v>46336</v>
      </c>
      <c r="F40" s="155">
        <v>46338</v>
      </c>
      <c r="G40" s="156">
        <f t="shared" si="2"/>
        <v>3</v>
      </c>
      <c r="H40" s="157"/>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c r="AT40" s="151"/>
      <c r="AU40" s="151"/>
      <c r="AV40" s="151"/>
      <c r="AW40" s="151"/>
      <c r="AX40" s="151"/>
      <c r="AY40" s="151"/>
      <c r="AZ40" s="151"/>
      <c r="BA40" s="151"/>
      <c r="BB40" s="151"/>
      <c r="BC40" s="151"/>
      <c r="BD40" s="151"/>
      <c r="BE40" s="151"/>
      <c r="BF40" s="151"/>
      <c r="BG40" s="151"/>
      <c r="BH40" s="151"/>
      <c r="BI40" s="151"/>
      <c r="BJ40" s="151"/>
      <c r="BK40" s="151"/>
      <c r="BL40" s="151"/>
      <c r="BM40" s="151"/>
      <c r="BN40" s="151"/>
      <c r="BO40" s="151"/>
      <c r="BP40" s="151"/>
    </row>
    <row r="41" spans="2:68" ht="24" customHeight="1" x14ac:dyDescent="0.3">
      <c r="B41" s="158" t="s">
        <v>159</v>
      </c>
      <c r="C41" s="159" t="s">
        <v>160</v>
      </c>
      <c r="D41" s="160" t="s">
        <v>112</v>
      </c>
      <c r="E41" s="161">
        <v>46335</v>
      </c>
      <c r="F41" s="161">
        <v>46339</v>
      </c>
      <c r="G41" s="162">
        <f t="shared" si="2"/>
        <v>5</v>
      </c>
      <c r="H41" s="163"/>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151"/>
      <c r="AS41" s="151"/>
      <c r="AT41" s="151"/>
      <c r="AU41" s="151"/>
      <c r="AV41" s="151"/>
      <c r="AW41" s="151"/>
      <c r="AX41" s="151"/>
      <c r="AY41" s="151"/>
      <c r="AZ41" s="151"/>
      <c r="BA41" s="151"/>
      <c r="BB41" s="151"/>
      <c r="BC41" s="151"/>
      <c r="BD41" s="151"/>
      <c r="BE41" s="151"/>
      <c r="BF41" s="151"/>
      <c r="BG41" s="151"/>
      <c r="BH41" s="151"/>
      <c r="BI41" s="151"/>
      <c r="BJ41" s="151"/>
      <c r="BK41" s="151"/>
      <c r="BL41" s="151"/>
      <c r="BM41" s="151"/>
      <c r="BN41" s="151"/>
      <c r="BO41" s="151"/>
      <c r="BP41" s="151"/>
    </row>
    <row r="42" spans="2:68" ht="24" customHeight="1" x14ac:dyDescent="0.3">
      <c r="B42" s="152" t="s">
        <v>62</v>
      </c>
      <c r="C42" s="164" t="s">
        <v>161</v>
      </c>
      <c r="D42" s="154" t="s">
        <v>64</v>
      </c>
      <c r="E42" s="155">
        <v>46342</v>
      </c>
      <c r="F42" s="155">
        <v>46343</v>
      </c>
      <c r="G42" s="156">
        <f t="shared" si="2"/>
        <v>2</v>
      </c>
      <c r="H42" s="157"/>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51"/>
      <c r="AS42" s="151"/>
      <c r="AT42" s="151"/>
      <c r="AU42" s="151"/>
      <c r="AV42" s="151"/>
      <c r="AW42" s="151"/>
      <c r="AX42" s="151"/>
      <c r="AY42" s="151"/>
      <c r="AZ42" s="151"/>
      <c r="BA42" s="151"/>
      <c r="BB42" s="151"/>
      <c r="BC42" s="151"/>
      <c r="BD42" s="151"/>
      <c r="BE42" s="151"/>
      <c r="BF42" s="151"/>
      <c r="BG42" s="151"/>
      <c r="BH42" s="151"/>
      <c r="BI42" s="151"/>
      <c r="BJ42" s="151"/>
      <c r="BK42" s="151"/>
      <c r="BL42" s="151"/>
      <c r="BM42" s="151"/>
      <c r="BN42" s="151"/>
      <c r="BO42" s="151"/>
      <c r="BP42" s="151"/>
    </row>
    <row r="43" spans="2:68" ht="24" customHeight="1" x14ac:dyDescent="0.3">
      <c r="B43" s="165" t="s">
        <v>65</v>
      </c>
      <c r="C43" s="166" t="s">
        <v>162</v>
      </c>
      <c r="D43" s="167"/>
      <c r="E43" s="168"/>
      <c r="F43" s="168"/>
      <c r="G43" s="169"/>
      <c r="H43" s="168"/>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3"/>
      <c r="BP43" s="143"/>
    </row>
    <row r="44" spans="2:68" ht="24" customHeight="1" x14ac:dyDescent="0.3">
      <c r="B44" s="152" t="s">
        <v>163</v>
      </c>
      <c r="C44" s="153" t="s">
        <v>164</v>
      </c>
      <c r="D44" s="154" t="s">
        <v>64</v>
      </c>
      <c r="E44" s="155">
        <v>46344</v>
      </c>
      <c r="F44" s="155">
        <v>46349</v>
      </c>
      <c r="G44" s="156">
        <f t="shared" ref="G44:G49" si="3">F44-E44+1</f>
        <v>6</v>
      </c>
      <c r="H44" s="157"/>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51"/>
      <c r="AS44" s="151"/>
      <c r="AT44" s="151"/>
      <c r="AU44" s="151"/>
      <c r="AV44" s="151"/>
      <c r="AW44" s="151"/>
      <c r="AX44" s="151"/>
      <c r="AY44" s="151"/>
      <c r="AZ44" s="151"/>
      <c r="BA44" s="151"/>
      <c r="BB44" s="151"/>
      <c r="BC44" s="151"/>
      <c r="BD44" s="151"/>
      <c r="BE44" s="151"/>
      <c r="BF44" s="151"/>
      <c r="BG44" s="151"/>
      <c r="BH44" s="151"/>
      <c r="BI44" s="151"/>
      <c r="BJ44" s="151"/>
      <c r="BK44" s="151"/>
      <c r="BL44" s="151"/>
      <c r="BM44" s="151"/>
      <c r="BN44" s="151"/>
      <c r="BO44" s="151"/>
      <c r="BP44" s="151"/>
    </row>
    <row r="45" spans="2:68" ht="24" customHeight="1" x14ac:dyDescent="0.3">
      <c r="B45" s="158" t="s">
        <v>165</v>
      </c>
      <c r="C45" s="159" t="s">
        <v>166</v>
      </c>
      <c r="D45" s="160" t="s">
        <v>55</v>
      </c>
      <c r="E45" s="161">
        <v>46349</v>
      </c>
      <c r="F45" s="161">
        <v>46352</v>
      </c>
      <c r="G45" s="162">
        <f t="shared" si="3"/>
        <v>4</v>
      </c>
      <c r="H45" s="163"/>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c r="BP45" s="151"/>
    </row>
    <row r="46" spans="2:68" ht="24" customHeight="1" x14ac:dyDescent="0.3">
      <c r="B46" s="152" t="s">
        <v>167</v>
      </c>
      <c r="C46" s="153" t="s">
        <v>168</v>
      </c>
      <c r="D46" s="154" t="s">
        <v>112</v>
      </c>
      <c r="E46" s="155">
        <v>46349</v>
      </c>
      <c r="F46" s="155">
        <v>46352</v>
      </c>
      <c r="G46" s="156">
        <f t="shared" si="3"/>
        <v>4</v>
      </c>
      <c r="H46" s="157"/>
      <c r="I46" s="151"/>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151"/>
      <c r="AS46" s="151"/>
      <c r="AT46" s="151"/>
      <c r="AU46" s="151"/>
      <c r="AV46" s="151"/>
      <c r="AW46" s="151"/>
      <c r="AX46" s="151"/>
      <c r="AY46" s="151"/>
      <c r="AZ46" s="151"/>
      <c r="BA46" s="151"/>
      <c r="BB46" s="151"/>
      <c r="BC46" s="151"/>
      <c r="BD46" s="151"/>
      <c r="BE46" s="151"/>
      <c r="BF46" s="151"/>
      <c r="BG46" s="151"/>
      <c r="BH46" s="151"/>
      <c r="BI46" s="151"/>
      <c r="BJ46" s="151"/>
      <c r="BK46" s="151"/>
      <c r="BL46" s="151"/>
      <c r="BM46" s="151"/>
      <c r="BN46" s="151"/>
      <c r="BO46" s="151"/>
      <c r="BP46" s="151"/>
    </row>
    <row r="47" spans="2:68" ht="24" customHeight="1" x14ac:dyDescent="0.3">
      <c r="B47" s="158" t="s">
        <v>169</v>
      </c>
      <c r="C47" s="159" t="s">
        <v>170</v>
      </c>
      <c r="D47" s="160" t="s">
        <v>86</v>
      </c>
      <c r="E47" s="161">
        <v>46351</v>
      </c>
      <c r="F47" s="161">
        <v>46356</v>
      </c>
      <c r="G47" s="162">
        <f t="shared" si="3"/>
        <v>6</v>
      </c>
      <c r="H47" s="163"/>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151"/>
      <c r="AS47" s="151"/>
      <c r="AT47" s="151"/>
      <c r="AU47" s="151"/>
      <c r="AV47" s="151"/>
      <c r="AW47" s="151"/>
      <c r="AX47" s="151"/>
      <c r="AY47" s="151"/>
      <c r="AZ47" s="151"/>
      <c r="BA47" s="151"/>
      <c r="BB47" s="151"/>
      <c r="BC47" s="151"/>
      <c r="BD47" s="151"/>
      <c r="BE47" s="151"/>
      <c r="BF47" s="151"/>
      <c r="BG47" s="151"/>
      <c r="BH47" s="151"/>
      <c r="BI47" s="151"/>
      <c r="BJ47" s="151"/>
      <c r="BK47" s="151"/>
      <c r="BL47" s="151"/>
      <c r="BM47" s="151"/>
      <c r="BN47" s="151"/>
      <c r="BO47" s="151"/>
      <c r="BP47" s="151"/>
    </row>
    <row r="48" spans="2:68" ht="24" customHeight="1" x14ac:dyDescent="0.3">
      <c r="B48" s="152" t="s">
        <v>171</v>
      </c>
      <c r="C48" s="153" t="s">
        <v>172</v>
      </c>
      <c r="D48" s="154" t="s">
        <v>112</v>
      </c>
      <c r="E48" s="155">
        <v>46353</v>
      </c>
      <c r="F48" s="155">
        <v>46356</v>
      </c>
      <c r="G48" s="156">
        <f t="shared" si="3"/>
        <v>4</v>
      </c>
      <c r="H48" s="157"/>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151"/>
      <c r="AS48" s="151"/>
      <c r="AT48" s="151"/>
      <c r="AU48" s="151"/>
      <c r="AV48" s="151"/>
      <c r="AW48" s="151"/>
      <c r="AX48" s="151"/>
      <c r="AY48" s="151"/>
      <c r="AZ48" s="151"/>
      <c r="BA48" s="151"/>
      <c r="BB48" s="151"/>
      <c r="BC48" s="151"/>
      <c r="BD48" s="151"/>
      <c r="BE48" s="151"/>
      <c r="BF48" s="151"/>
      <c r="BG48" s="151"/>
      <c r="BH48" s="151"/>
      <c r="BI48" s="151"/>
      <c r="BJ48" s="151"/>
      <c r="BK48" s="151"/>
      <c r="BL48" s="151"/>
      <c r="BM48" s="151"/>
      <c r="BN48" s="151"/>
      <c r="BO48" s="151"/>
      <c r="BP48" s="151"/>
    </row>
    <row r="49" spans="2:68" ht="24" customHeight="1" x14ac:dyDescent="0.3">
      <c r="B49" s="158" t="s">
        <v>67</v>
      </c>
      <c r="C49" s="170" t="s">
        <v>173</v>
      </c>
      <c r="D49" s="160" t="s">
        <v>55</v>
      </c>
      <c r="E49" s="161">
        <v>46356</v>
      </c>
      <c r="F49" s="161">
        <v>46357</v>
      </c>
      <c r="G49" s="162">
        <f t="shared" si="3"/>
        <v>2</v>
      </c>
      <c r="H49" s="163"/>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51"/>
      <c r="AS49" s="151"/>
      <c r="AT49" s="151"/>
      <c r="AU49" s="151"/>
      <c r="AV49" s="151"/>
      <c r="AW49" s="151"/>
      <c r="AX49" s="151"/>
      <c r="AY49" s="151"/>
      <c r="AZ49" s="151"/>
      <c r="BA49" s="151"/>
      <c r="BB49" s="151"/>
      <c r="BC49" s="151"/>
      <c r="BD49" s="151"/>
      <c r="BE49" s="151"/>
      <c r="BF49" s="151"/>
      <c r="BG49" s="151"/>
      <c r="BH49" s="151"/>
      <c r="BI49" s="151"/>
      <c r="BJ49" s="151"/>
      <c r="BK49" s="151"/>
      <c r="BL49" s="151"/>
      <c r="BM49" s="151"/>
      <c r="BN49" s="151"/>
      <c r="BO49" s="151"/>
      <c r="BP49" s="151"/>
    </row>
    <row r="50" spans="2:68" ht="24" customHeight="1" x14ac:dyDescent="0.3">
      <c r="B50" s="165" t="s">
        <v>174</v>
      </c>
      <c r="C50" s="166" t="s">
        <v>175</v>
      </c>
      <c r="D50" s="167"/>
      <c r="E50" s="168"/>
      <c r="F50" s="168"/>
      <c r="G50" s="169"/>
      <c r="H50" s="168"/>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3"/>
      <c r="BP50" s="143"/>
    </row>
    <row r="51" spans="2:68" ht="24" customHeight="1" x14ac:dyDescent="0.3">
      <c r="B51" s="158" t="s">
        <v>176</v>
      </c>
      <c r="C51" s="159" t="s">
        <v>177</v>
      </c>
      <c r="D51" s="160" t="s">
        <v>112</v>
      </c>
      <c r="E51" s="161">
        <v>46358</v>
      </c>
      <c r="F51" s="161">
        <v>46360</v>
      </c>
      <c r="G51" s="162">
        <f t="shared" ref="G51:G65" si="4">F51-E51+1</f>
        <v>3</v>
      </c>
      <c r="H51" s="163"/>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151"/>
      <c r="AS51" s="151"/>
      <c r="AT51" s="151"/>
      <c r="AU51" s="151"/>
      <c r="AV51" s="151"/>
      <c r="AW51" s="151"/>
      <c r="AX51" s="151"/>
      <c r="AY51" s="151"/>
      <c r="AZ51" s="151"/>
      <c r="BA51" s="151"/>
      <c r="BB51" s="151"/>
      <c r="BC51" s="151"/>
      <c r="BD51" s="151"/>
      <c r="BE51" s="151"/>
      <c r="BF51" s="151"/>
      <c r="BG51" s="151"/>
      <c r="BH51" s="151"/>
      <c r="BI51" s="151"/>
      <c r="BJ51" s="151"/>
      <c r="BK51" s="151"/>
      <c r="BL51" s="151"/>
      <c r="BM51" s="151"/>
      <c r="BN51" s="151"/>
      <c r="BO51" s="151"/>
      <c r="BP51" s="151"/>
    </row>
    <row r="52" spans="2:68" ht="30" customHeight="1" x14ac:dyDescent="0.3">
      <c r="B52" s="152" t="s">
        <v>178</v>
      </c>
      <c r="C52" s="153" t="s">
        <v>179</v>
      </c>
      <c r="D52" s="154" t="s">
        <v>64</v>
      </c>
      <c r="E52" s="155">
        <v>46358</v>
      </c>
      <c r="F52" s="155">
        <v>46360</v>
      </c>
      <c r="G52" s="156">
        <f t="shared" si="4"/>
        <v>3</v>
      </c>
      <c r="H52" s="157"/>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151"/>
      <c r="AS52" s="151"/>
      <c r="AT52" s="151"/>
      <c r="AU52" s="151"/>
      <c r="AV52" s="151"/>
      <c r="AW52" s="151"/>
      <c r="AX52" s="151"/>
      <c r="AY52" s="151"/>
      <c r="AZ52" s="151"/>
      <c r="BA52" s="151"/>
      <c r="BB52" s="151"/>
      <c r="BC52" s="151"/>
      <c r="BD52" s="151"/>
      <c r="BE52" s="151"/>
      <c r="BF52" s="151"/>
      <c r="BG52" s="151"/>
      <c r="BH52" s="151"/>
      <c r="BI52" s="151"/>
      <c r="BJ52" s="151"/>
      <c r="BK52" s="151"/>
      <c r="BL52" s="151"/>
      <c r="BM52" s="151"/>
      <c r="BN52" s="151"/>
      <c r="BO52" s="151"/>
      <c r="BP52" s="151"/>
    </row>
    <row r="53" spans="2:68" ht="30" customHeight="1" x14ac:dyDescent="0.3">
      <c r="B53" s="158" t="s">
        <v>180</v>
      </c>
      <c r="C53" s="159" t="s">
        <v>181</v>
      </c>
      <c r="D53" s="160" t="s">
        <v>55</v>
      </c>
      <c r="E53" s="161">
        <v>46360</v>
      </c>
      <c r="F53" s="161">
        <v>46364</v>
      </c>
      <c r="G53" s="162">
        <f t="shared" si="4"/>
        <v>5</v>
      </c>
      <c r="H53" s="163"/>
      <c r="I53" s="151"/>
      <c r="J53" s="151"/>
      <c r="K53" s="151"/>
      <c r="L53" s="151"/>
      <c r="M53" s="151"/>
      <c r="N53" s="151"/>
      <c r="O53" s="151"/>
      <c r="P53" s="151"/>
      <c r="Q53" s="151"/>
      <c r="R53" s="151"/>
      <c r="S53" s="151"/>
      <c r="T53" s="151"/>
      <c r="U53" s="151"/>
      <c r="V53" s="151"/>
      <c r="W53" s="151"/>
      <c r="X53" s="151"/>
      <c r="Y53" s="151"/>
      <c r="Z53" s="151"/>
      <c r="AA53" s="151"/>
      <c r="AB53" s="151"/>
      <c r="AC53" s="151"/>
      <c r="AD53" s="151"/>
      <c r="AE53" s="151"/>
      <c r="AF53" s="151"/>
      <c r="AG53" s="151"/>
      <c r="AH53" s="151"/>
      <c r="AI53" s="151"/>
      <c r="AJ53" s="151"/>
      <c r="AK53" s="151"/>
      <c r="AL53" s="151"/>
      <c r="AM53" s="151"/>
      <c r="AN53" s="151"/>
      <c r="AO53" s="151"/>
      <c r="AP53" s="151"/>
      <c r="AQ53" s="151"/>
      <c r="AR53" s="151"/>
      <c r="AS53" s="151"/>
      <c r="AT53" s="151"/>
      <c r="AU53" s="151"/>
      <c r="AV53" s="151"/>
      <c r="AW53" s="151"/>
      <c r="AX53" s="151"/>
      <c r="AY53" s="151"/>
      <c r="AZ53" s="151"/>
      <c r="BA53" s="151"/>
      <c r="BB53" s="151"/>
      <c r="BC53" s="151"/>
      <c r="BD53" s="151"/>
      <c r="BE53" s="151"/>
      <c r="BF53" s="151"/>
      <c r="BG53" s="151"/>
      <c r="BH53" s="151"/>
      <c r="BI53" s="151"/>
      <c r="BJ53" s="151"/>
      <c r="BK53" s="151"/>
      <c r="BL53" s="151"/>
      <c r="BM53" s="151"/>
      <c r="BN53" s="151"/>
      <c r="BO53" s="151"/>
      <c r="BP53" s="151"/>
    </row>
    <row r="54" spans="2:68" ht="30" customHeight="1" x14ac:dyDescent="0.3">
      <c r="B54" s="152" t="s">
        <v>182</v>
      </c>
      <c r="C54" s="153" t="s">
        <v>183</v>
      </c>
      <c r="D54" s="154" t="s">
        <v>64</v>
      </c>
      <c r="E54" s="155">
        <v>46360</v>
      </c>
      <c r="F54" s="155">
        <v>46365</v>
      </c>
      <c r="G54" s="156">
        <f t="shared" si="4"/>
        <v>6</v>
      </c>
      <c r="H54" s="157"/>
      <c r="I54" s="151"/>
      <c r="J54" s="151"/>
      <c r="K54" s="151"/>
      <c r="L54" s="151"/>
      <c r="M54" s="151"/>
      <c r="N54" s="151"/>
      <c r="O54" s="151"/>
      <c r="P54" s="151"/>
      <c r="Q54" s="151"/>
      <c r="R54" s="151"/>
      <c r="S54" s="151"/>
      <c r="T54" s="151"/>
      <c r="U54" s="151"/>
      <c r="V54" s="151"/>
      <c r="W54" s="151"/>
      <c r="X54" s="151"/>
      <c r="Y54" s="151"/>
      <c r="Z54" s="151"/>
      <c r="AA54" s="151"/>
      <c r="AB54" s="151"/>
      <c r="AC54" s="151"/>
      <c r="AD54" s="151"/>
      <c r="AE54" s="151"/>
      <c r="AF54" s="151"/>
      <c r="AG54" s="151"/>
      <c r="AH54" s="151"/>
      <c r="AI54" s="151"/>
      <c r="AJ54" s="151"/>
      <c r="AK54" s="151"/>
      <c r="AL54" s="151"/>
      <c r="AM54" s="151"/>
      <c r="AN54" s="151"/>
      <c r="AO54" s="151"/>
      <c r="AP54" s="151"/>
      <c r="AQ54" s="151"/>
      <c r="AR54" s="151"/>
      <c r="AS54" s="151"/>
      <c r="AT54" s="151"/>
      <c r="AU54" s="151"/>
      <c r="AV54" s="151"/>
      <c r="AW54" s="151"/>
      <c r="AX54" s="151"/>
      <c r="AY54" s="151"/>
      <c r="AZ54" s="151"/>
      <c r="BA54" s="151"/>
      <c r="BB54" s="151"/>
      <c r="BC54" s="151"/>
      <c r="BD54" s="151"/>
      <c r="BE54" s="151"/>
      <c r="BF54" s="151"/>
      <c r="BG54" s="151"/>
      <c r="BH54" s="151"/>
      <c r="BI54" s="151"/>
      <c r="BJ54" s="151"/>
      <c r="BK54" s="151"/>
      <c r="BL54" s="151"/>
      <c r="BM54" s="151"/>
      <c r="BN54" s="151"/>
      <c r="BO54" s="151"/>
      <c r="BP54" s="151"/>
    </row>
    <row r="55" spans="2:68" ht="30" customHeight="1" x14ac:dyDescent="0.3">
      <c r="B55" s="158" t="s">
        <v>184</v>
      </c>
      <c r="C55" s="159" t="s">
        <v>185</v>
      </c>
      <c r="D55" s="160" t="s">
        <v>112</v>
      </c>
      <c r="E55" s="161">
        <v>46364</v>
      </c>
      <c r="F55" s="161">
        <v>46367</v>
      </c>
      <c r="G55" s="162">
        <f t="shared" si="4"/>
        <v>4</v>
      </c>
      <c r="H55" s="163"/>
      <c r="I55" s="151"/>
      <c r="J55" s="151"/>
      <c r="K55" s="151"/>
      <c r="L55" s="151"/>
      <c r="M55" s="151"/>
      <c r="N55" s="151"/>
      <c r="O55" s="151"/>
      <c r="P55" s="151"/>
      <c r="Q55" s="151"/>
      <c r="R55" s="151"/>
      <c r="S55" s="151"/>
      <c r="T55" s="151"/>
      <c r="U55" s="151"/>
      <c r="V55" s="151"/>
      <c r="W55" s="151"/>
      <c r="X55" s="151"/>
      <c r="Y55" s="151"/>
      <c r="Z55" s="151"/>
      <c r="AA55" s="151"/>
      <c r="AB55" s="151"/>
      <c r="AC55" s="151"/>
      <c r="AD55" s="151"/>
      <c r="AE55" s="151"/>
      <c r="AF55" s="151"/>
      <c r="AG55" s="151"/>
      <c r="AH55" s="151"/>
      <c r="AI55" s="151"/>
      <c r="AJ55" s="151"/>
      <c r="AK55" s="151"/>
      <c r="AL55" s="151"/>
      <c r="AM55" s="151"/>
      <c r="AN55" s="151"/>
      <c r="AO55" s="151"/>
      <c r="AP55" s="151"/>
      <c r="AQ55" s="151"/>
      <c r="AR55" s="151"/>
      <c r="AS55" s="151"/>
      <c r="AT55" s="151"/>
      <c r="AU55" s="151"/>
      <c r="AV55" s="151"/>
      <c r="AW55" s="151"/>
      <c r="AX55" s="151"/>
      <c r="AY55" s="151"/>
      <c r="AZ55" s="151"/>
      <c r="BA55" s="151"/>
      <c r="BB55" s="151"/>
      <c r="BC55" s="151"/>
      <c r="BD55" s="151"/>
      <c r="BE55" s="151"/>
      <c r="BF55" s="151"/>
      <c r="BG55" s="151"/>
      <c r="BH55" s="151"/>
      <c r="BI55" s="151"/>
      <c r="BJ55" s="151"/>
      <c r="BK55" s="151"/>
      <c r="BL55" s="151"/>
      <c r="BM55" s="151"/>
      <c r="BN55" s="151"/>
      <c r="BO55" s="151"/>
      <c r="BP55" s="151"/>
    </row>
    <row r="56" spans="2:68" ht="30" customHeight="1" x14ac:dyDescent="0.3">
      <c r="B56" s="152" t="s">
        <v>186</v>
      </c>
      <c r="C56" s="153" t="s">
        <v>187</v>
      </c>
      <c r="D56" s="154" t="s">
        <v>55</v>
      </c>
      <c r="E56" s="155">
        <v>46365</v>
      </c>
      <c r="F56" s="155">
        <v>46367</v>
      </c>
      <c r="G56" s="156">
        <f t="shared" si="4"/>
        <v>3</v>
      </c>
      <c r="H56" s="157"/>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c r="AT56" s="151"/>
      <c r="AU56" s="151"/>
      <c r="AV56" s="151"/>
      <c r="AW56" s="151"/>
      <c r="AX56" s="151"/>
      <c r="AY56" s="151"/>
      <c r="AZ56" s="151"/>
      <c r="BA56" s="151"/>
      <c r="BB56" s="151"/>
      <c r="BC56" s="151"/>
      <c r="BD56" s="151"/>
      <c r="BE56" s="151"/>
      <c r="BF56" s="151"/>
      <c r="BG56" s="151"/>
      <c r="BH56" s="151"/>
      <c r="BI56" s="151"/>
      <c r="BJ56" s="151"/>
      <c r="BK56" s="151"/>
      <c r="BL56" s="151"/>
      <c r="BM56" s="151"/>
      <c r="BN56" s="151"/>
      <c r="BO56" s="151"/>
      <c r="BP56" s="151"/>
    </row>
    <row r="57" spans="2:68" ht="30" customHeight="1" x14ac:dyDescent="0.3">
      <c r="B57" s="158" t="s">
        <v>188</v>
      </c>
      <c r="C57" s="159" t="s">
        <v>189</v>
      </c>
      <c r="D57" s="160" t="s">
        <v>55</v>
      </c>
      <c r="E57" s="161">
        <v>46363</v>
      </c>
      <c r="F57" s="161">
        <v>46366</v>
      </c>
      <c r="G57" s="162">
        <f t="shared" si="4"/>
        <v>4</v>
      </c>
      <c r="H57" s="163"/>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I57" s="151"/>
      <c r="AJ57" s="151"/>
      <c r="AK57" s="151"/>
      <c r="AL57" s="151"/>
      <c r="AM57" s="151"/>
      <c r="AN57" s="151"/>
      <c r="AO57" s="151"/>
      <c r="AP57" s="151"/>
      <c r="AQ57" s="151"/>
      <c r="AR57" s="151"/>
      <c r="AS57" s="151"/>
      <c r="AT57" s="151"/>
      <c r="AU57" s="151"/>
      <c r="AV57" s="151"/>
      <c r="AW57" s="151"/>
      <c r="AX57" s="151"/>
      <c r="AY57" s="151"/>
      <c r="AZ57" s="151"/>
      <c r="BA57" s="151"/>
      <c r="BB57" s="151"/>
      <c r="BC57" s="151"/>
      <c r="BD57" s="151"/>
      <c r="BE57" s="151"/>
      <c r="BF57" s="151"/>
      <c r="BG57" s="151"/>
      <c r="BH57" s="151"/>
      <c r="BI57" s="151"/>
      <c r="BJ57" s="151"/>
      <c r="BK57" s="151"/>
      <c r="BL57" s="151"/>
      <c r="BM57" s="151"/>
      <c r="BN57" s="151"/>
      <c r="BO57" s="151"/>
      <c r="BP57" s="151"/>
    </row>
    <row r="58" spans="2:68" ht="30" customHeight="1" x14ac:dyDescent="0.3">
      <c r="B58" s="152" t="s">
        <v>190</v>
      </c>
      <c r="C58" s="153" t="s">
        <v>191</v>
      </c>
      <c r="D58" s="154" t="s">
        <v>64</v>
      </c>
      <c r="E58" s="155">
        <v>46365</v>
      </c>
      <c r="F58" s="155">
        <v>46367</v>
      </c>
      <c r="G58" s="156">
        <f t="shared" si="4"/>
        <v>3</v>
      </c>
      <c r="H58" s="157"/>
      <c r="I58" s="151"/>
      <c r="J58" s="151"/>
      <c r="K58" s="151"/>
      <c r="L58" s="151"/>
      <c r="M58" s="151"/>
      <c r="N58" s="151"/>
      <c r="O58" s="151"/>
      <c r="P58" s="151"/>
      <c r="Q58" s="151"/>
      <c r="R58" s="151"/>
      <c r="S58" s="151"/>
      <c r="T58" s="151"/>
      <c r="U58" s="151"/>
      <c r="V58" s="151"/>
      <c r="W58" s="151"/>
      <c r="X58" s="151"/>
      <c r="Y58" s="151"/>
      <c r="Z58" s="151"/>
      <c r="AA58" s="151"/>
      <c r="AB58" s="151"/>
      <c r="AC58" s="151"/>
      <c r="AD58" s="151"/>
      <c r="AE58" s="151"/>
      <c r="AF58" s="151"/>
      <c r="AG58" s="151"/>
      <c r="AH58" s="151"/>
      <c r="AI58" s="151"/>
      <c r="AJ58" s="151"/>
      <c r="AK58" s="151"/>
      <c r="AL58" s="151"/>
      <c r="AM58" s="151"/>
      <c r="AN58" s="151"/>
      <c r="AO58" s="151"/>
      <c r="AP58" s="151"/>
      <c r="AQ58" s="151"/>
      <c r="AR58" s="151"/>
      <c r="AS58" s="151"/>
      <c r="AT58" s="151"/>
      <c r="AU58" s="151"/>
      <c r="AV58" s="151"/>
      <c r="AW58" s="151"/>
      <c r="AX58" s="151"/>
      <c r="AY58" s="151"/>
      <c r="AZ58" s="151"/>
      <c r="BA58" s="151"/>
      <c r="BB58" s="151"/>
      <c r="BC58" s="151"/>
      <c r="BD58" s="151"/>
      <c r="BE58" s="151"/>
      <c r="BF58" s="151"/>
      <c r="BG58" s="151"/>
      <c r="BH58" s="151"/>
      <c r="BI58" s="151"/>
      <c r="BJ58" s="151"/>
      <c r="BK58" s="151"/>
      <c r="BL58" s="151"/>
      <c r="BM58" s="151"/>
      <c r="BN58" s="151"/>
      <c r="BO58" s="151"/>
      <c r="BP58" s="151"/>
    </row>
    <row r="59" spans="2:68" ht="30" customHeight="1" x14ac:dyDescent="0.3">
      <c r="B59" s="158" t="s">
        <v>192</v>
      </c>
      <c r="C59" s="159" t="s">
        <v>193</v>
      </c>
      <c r="D59" s="160" t="s">
        <v>55</v>
      </c>
      <c r="E59" s="161">
        <v>46367</v>
      </c>
      <c r="F59" s="161">
        <v>46370</v>
      </c>
      <c r="G59" s="162">
        <f t="shared" si="4"/>
        <v>4</v>
      </c>
      <c r="H59" s="163"/>
      <c r="I59" s="151"/>
      <c r="J59" s="151"/>
      <c r="K59" s="151"/>
      <c r="L59" s="151"/>
      <c r="M59" s="151"/>
      <c r="N59" s="151"/>
      <c r="O59" s="151"/>
      <c r="P59" s="151"/>
      <c r="Q59" s="151"/>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N59" s="151"/>
      <c r="AO59" s="151"/>
      <c r="AP59" s="151"/>
      <c r="AQ59" s="151"/>
      <c r="AR59" s="151"/>
      <c r="AS59" s="151"/>
      <c r="AT59" s="151"/>
      <c r="AU59" s="151"/>
      <c r="AV59" s="151"/>
      <c r="AW59" s="151"/>
      <c r="AX59" s="151"/>
      <c r="AY59" s="151"/>
      <c r="AZ59" s="151"/>
      <c r="BA59" s="151"/>
      <c r="BB59" s="151"/>
      <c r="BC59" s="151"/>
      <c r="BD59" s="151"/>
      <c r="BE59" s="151"/>
      <c r="BF59" s="151"/>
      <c r="BG59" s="151"/>
      <c r="BH59" s="151"/>
      <c r="BI59" s="151"/>
      <c r="BJ59" s="151"/>
      <c r="BK59" s="151"/>
      <c r="BL59" s="151"/>
      <c r="BM59" s="151"/>
      <c r="BN59" s="151"/>
      <c r="BO59" s="151"/>
      <c r="BP59" s="151"/>
    </row>
    <row r="60" spans="2:68" ht="24" customHeight="1" x14ac:dyDescent="0.3">
      <c r="B60" s="152" t="s">
        <v>194</v>
      </c>
      <c r="C60" s="153" t="s">
        <v>195</v>
      </c>
      <c r="D60" s="154" t="s">
        <v>64</v>
      </c>
      <c r="E60" s="155">
        <v>46367</v>
      </c>
      <c r="F60" s="155">
        <v>46370</v>
      </c>
      <c r="G60" s="156">
        <f t="shared" si="4"/>
        <v>4</v>
      </c>
      <c r="H60" s="157"/>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row>
    <row r="61" spans="2:68" ht="24" customHeight="1" x14ac:dyDescent="0.3">
      <c r="B61" s="158" t="s">
        <v>196</v>
      </c>
      <c r="C61" s="159" t="s">
        <v>197</v>
      </c>
      <c r="D61" s="160" t="s">
        <v>112</v>
      </c>
      <c r="E61" s="161">
        <v>46364</v>
      </c>
      <c r="F61" s="161">
        <v>46370</v>
      </c>
      <c r="G61" s="162">
        <f t="shared" si="4"/>
        <v>7</v>
      </c>
      <c r="H61" s="163"/>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row>
    <row r="62" spans="2:68" ht="24" customHeight="1" x14ac:dyDescent="0.3">
      <c r="B62" s="152" t="s">
        <v>198</v>
      </c>
      <c r="C62" s="153" t="s">
        <v>199</v>
      </c>
      <c r="D62" s="154" t="s">
        <v>86</v>
      </c>
      <c r="E62" s="155">
        <v>46360</v>
      </c>
      <c r="F62" s="155">
        <v>46370</v>
      </c>
      <c r="G62" s="156">
        <f t="shared" si="4"/>
        <v>11</v>
      </c>
      <c r="H62" s="157"/>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row>
    <row r="63" spans="2:68" ht="24" customHeight="1" x14ac:dyDescent="0.3">
      <c r="B63" s="158" t="s">
        <v>200</v>
      </c>
      <c r="C63" s="159" t="s">
        <v>201</v>
      </c>
      <c r="D63" s="160" t="s">
        <v>86</v>
      </c>
      <c r="E63" s="161">
        <v>46367</v>
      </c>
      <c r="F63" s="161">
        <v>46371</v>
      </c>
      <c r="G63" s="162">
        <f t="shared" si="4"/>
        <v>5</v>
      </c>
      <c r="H63" s="163"/>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c r="AH63" s="151"/>
      <c r="AI63" s="151"/>
      <c r="AJ63" s="151"/>
      <c r="AK63" s="151"/>
      <c r="AL63" s="151"/>
      <c r="AM63" s="151"/>
      <c r="AN63" s="151"/>
      <c r="AO63" s="151"/>
      <c r="AP63" s="151"/>
      <c r="AQ63" s="151"/>
      <c r="AR63" s="151"/>
      <c r="AS63" s="151"/>
      <c r="AT63" s="151"/>
      <c r="AU63" s="151"/>
      <c r="AV63" s="151"/>
      <c r="AW63" s="151"/>
      <c r="AX63" s="151"/>
      <c r="AY63" s="151"/>
      <c r="AZ63" s="151"/>
      <c r="BA63" s="151"/>
      <c r="BB63" s="151"/>
      <c r="BC63" s="151"/>
      <c r="BD63" s="151"/>
      <c r="BE63" s="151"/>
      <c r="BF63" s="151"/>
      <c r="BG63" s="151"/>
      <c r="BH63" s="151"/>
      <c r="BI63" s="151"/>
      <c r="BJ63" s="151"/>
      <c r="BK63" s="151"/>
      <c r="BL63" s="151"/>
      <c r="BM63" s="151"/>
      <c r="BN63" s="151"/>
      <c r="BO63" s="151"/>
      <c r="BP63" s="151"/>
    </row>
    <row r="64" spans="2:68" ht="24" customHeight="1" x14ac:dyDescent="0.3">
      <c r="B64" s="152" t="s">
        <v>84</v>
      </c>
      <c r="C64" s="164" t="s">
        <v>202</v>
      </c>
      <c r="D64" s="154" t="s">
        <v>86</v>
      </c>
      <c r="E64" s="155">
        <v>46370</v>
      </c>
      <c r="F64" s="155">
        <v>46371</v>
      </c>
      <c r="G64" s="156">
        <f t="shared" si="4"/>
        <v>2</v>
      </c>
      <c r="H64" s="157"/>
      <c r="I64" s="151"/>
      <c r="J64" s="151"/>
      <c r="K64" s="151"/>
      <c r="L64" s="151"/>
      <c r="M64" s="151"/>
      <c r="N64" s="151"/>
      <c r="O64" s="151"/>
      <c r="P64" s="151"/>
      <c r="Q64" s="151"/>
      <c r="R64" s="151"/>
      <c r="S64" s="151"/>
      <c r="T64" s="151"/>
      <c r="U64" s="151"/>
      <c r="V64" s="151"/>
      <c r="W64" s="151"/>
      <c r="X64" s="151"/>
      <c r="Y64" s="151"/>
      <c r="Z64" s="151"/>
      <c r="AA64" s="151"/>
      <c r="AB64" s="151"/>
      <c r="AC64" s="151"/>
      <c r="AD64" s="151"/>
      <c r="AE64" s="151"/>
      <c r="AF64" s="151"/>
      <c r="AG64" s="151"/>
      <c r="AH64" s="151"/>
      <c r="AI64" s="151"/>
      <c r="AJ64" s="151"/>
      <c r="AK64" s="151"/>
      <c r="AL64" s="151"/>
      <c r="AM64" s="151"/>
      <c r="AN64" s="151"/>
      <c r="AO64" s="151"/>
      <c r="AP64" s="151"/>
      <c r="AQ64" s="151"/>
      <c r="AR64" s="151"/>
      <c r="AS64" s="151"/>
      <c r="AT64" s="151"/>
      <c r="AU64" s="151"/>
      <c r="AV64" s="151"/>
      <c r="AW64" s="151"/>
      <c r="AX64" s="151"/>
      <c r="AY64" s="151"/>
      <c r="AZ64" s="151"/>
      <c r="BA64" s="151"/>
      <c r="BB64" s="151"/>
      <c r="BC64" s="151"/>
      <c r="BD64" s="151"/>
      <c r="BE64" s="151"/>
      <c r="BF64" s="151"/>
      <c r="BG64" s="151"/>
      <c r="BH64" s="151"/>
      <c r="BI64" s="151"/>
      <c r="BJ64" s="151"/>
      <c r="BK64" s="151"/>
      <c r="BL64" s="151"/>
      <c r="BM64" s="151"/>
      <c r="BN64" s="151"/>
      <c r="BO64" s="151"/>
      <c r="BP64" s="151"/>
    </row>
    <row r="65" spans="2:68" ht="24" customHeight="1" x14ac:dyDescent="0.3">
      <c r="B65" s="158" t="s">
        <v>203</v>
      </c>
      <c r="C65" s="159" t="s">
        <v>204</v>
      </c>
      <c r="D65" s="160" t="s">
        <v>112</v>
      </c>
      <c r="E65" s="161">
        <v>46370</v>
      </c>
      <c r="F65" s="161">
        <v>46371</v>
      </c>
      <c r="G65" s="162">
        <f t="shared" si="4"/>
        <v>2</v>
      </c>
      <c r="H65" s="163"/>
      <c r="I65" s="151"/>
      <c r="J65" s="151"/>
      <c r="K65" s="151"/>
      <c r="L65" s="151"/>
      <c r="M65" s="151"/>
      <c r="N65" s="151"/>
      <c r="O65" s="151"/>
      <c r="P65" s="151"/>
      <c r="Q65" s="151"/>
      <c r="R65" s="151"/>
      <c r="S65" s="151"/>
      <c r="T65" s="151"/>
      <c r="U65" s="151"/>
      <c r="V65" s="151"/>
      <c r="W65" s="151"/>
      <c r="X65" s="151"/>
      <c r="Y65" s="151"/>
      <c r="Z65" s="151"/>
      <c r="AA65" s="151"/>
      <c r="AB65" s="151"/>
      <c r="AC65" s="151"/>
      <c r="AD65" s="151"/>
      <c r="AE65" s="151"/>
      <c r="AF65" s="151"/>
      <c r="AG65" s="151"/>
      <c r="AH65" s="151"/>
      <c r="AI65" s="151"/>
      <c r="AJ65" s="151"/>
      <c r="AK65" s="151"/>
      <c r="AL65" s="151"/>
      <c r="AM65" s="151"/>
      <c r="AN65" s="151"/>
      <c r="AO65" s="151"/>
      <c r="AP65" s="151"/>
      <c r="AQ65" s="151"/>
      <c r="AR65" s="151"/>
      <c r="AS65" s="151"/>
      <c r="AT65" s="151"/>
      <c r="AU65" s="151"/>
      <c r="AV65" s="151"/>
      <c r="AW65" s="151"/>
      <c r="AX65" s="151"/>
      <c r="AY65" s="151"/>
      <c r="AZ65" s="151"/>
      <c r="BA65" s="151"/>
      <c r="BB65" s="151"/>
      <c r="BC65" s="151"/>
      <c r="BD65" s="151"/>
      <c r="BE65" s="151"/>
      <c r="BF65" s="151"/>
      <c r="BG65" s="151"/>
      <c r="BH65" s="151"/>
      <c r="BI65" s="151"/>
      <c r="BJ65" s="151"/>
      <c r="BK65" s="151"/>
      <c r="BL65" s="151"/>
      <c r="BM65" s="151"/>
      <c r="BN65" s="151"/>
      <c r="BO65" s="151"/>
      <c r="BP65" s="151"/>
    </row>
    <row r="66" spans="2:68" ht="24" customHeight="1" x14ac:dyDescent="0.3">
      <c r="B66" s="165" t="s">
        <v>205</v>
      </c>
      <c r="C66" s="166" t="s">
        <v>206</v>
      </c>
      <c r="D66" s="167"/>
      <c r="E66" s="168"/>
      <c r="F66" s="168"/>
      <c r="G66" s="169"/>
      <c r="H66" s="168"/>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A66" s="143"/>
      <c r="BB66" s="143"/>
      <c r="BC66" s="143"/>
      <c r="BD66" s="143"/>
      <c r="BE66" s="143"/>
      <c r="BF66" s="143"/>
      <c r="BG66" s="143"/>
      <c r="BH66" s="143"/>
      <c r="BI66" s="143"/>
      <c r="BJ66" s="143"/>
      <c r="BK66" s="143"/>
      <c r="BL66" s="143"/>
      <c r="BM66" s="143"/>
      <c r="BN66" s="143"/>
      <c r="BO66" s="143"/>
      <c r="BP66" s="143"/>
    </row>
    <row r="67" spans="2:68" ht="24" customHeight="1" x14ac:dyDescent="0.3">
      <c r="B67" s="158" t="s">
        <v>207</v>
      </c>
      <c r="C67" s="159" t="s">
        <v>208</v>
      </c>
      <c r="D67" s="160" t="s">
        <v>112</v>
      </c>
      <c r="E67" s="161">
        <v>46372</v>
      </c>
      <c r="F67" s="161">
        <v>46373</v>
      </c>
      <c r="G67" s="162">
        <f>F67-E67+1</f>
        <v>2</v>
      </c>
      <c r="H67" s="163"/>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151"/>
      <c r="AH67" s="151"/>
      <c r="AI67" s="151"/>
      <c r="AJ67" s="151"/>
      <c r="AK67" s="151"/>
      <c r="AL67" s="151"/>
      <c r="AM67" s="151"/>
      <c r="AN67" s="151"/>
      <c r="AO67" s="151"/>
      <c r="AP67" s="151"/>
      <c r="AQ67" s="151"/>
      <c r="AR67" s="151"/>
      <c r="AS67" s="151"/>
      <c r="AT67" s="151"/>
      <c r="AU67" s="151"/>
      <c r="AV67" s="151"/>
      <c r="AW67" s="151"/>
      <c r="AX67" s="151"/>
      <c r="AY67" s="151"/>
      <c r="AZ67" s="151"/>
      <c r="BA67" s="151"/>
      <c r="BB67" s="151"/>
      <c r="BC67" s="151"/>
      <c r="BD67" s="151"/>
      <c r="BE67" s="151"/>
      <c r="BF67" s="151"/>
      <c r="BG67" s="151"/>
      <c r="BH67" s="151"/>
      <c r="BI67" s="151"/>
      <c r="BJ67" s="151"/>
      <c r="BK67" s="151"/>
      <c r="BL67" s="151"/>
      <c r="BM67" s="151"/>
      <c r="BN67" s="151"/>
      <c r="BO67" s="151"/>
      <c r="BP67" s="151"/>
    </row>
    <row r="68" spans="2:68" ht="24" customHeight="1" x14ac:dyDescent="0.3">
      <c r="B68" s="152" t="s">
        <v>209</v>
      </c>
      <c r="C68" s="153" t="s">
        <v>210</v>
      </c>
      <c r="D68" s="154" t="s">
        <v>86</v>
      </c>
      <c r="E68" s="155">
        <v>46373</v>
      </c>
      <c r="F68" s="155">
        <v>46374</v>
      </c>
      <c r="G68" s="156">
        <f>F68-E68+1</f>
        <v>2</v>
      </c>
      <c r="H68" s="157"/>
      <c r="I68" s="151"/>
      <c r="J68" s="151"/>
      <c r="K68" s="151"/>
      <c r="L68" s="151"/>
      <c r="M68" s="151"/>
      <c r="N68" s="151"/>
      <c r="O68" s="151"/>
      <c r="P68" s="151"/>
      <c r="Q68" s="151"/>
      <c r="R68" s="151"/>
      <c r="S68" s="151"/>
      <c r="T68" s="151"/>
      <c r="U68" s="151"/>
      <c r="V68" s="151"/>
      <c r="W68" s="151"/>
      <c r="X68" s="151"/>
      <c r="Y68" s="151"/>
      <c r="Z68" s="151"/>
      <c r="AA68" s="151"/>
      <c r="AB68" s="151"/>
      <c r="AC68" s="151"/>
      <c r="AD68" s="151"/>
      <c r="AE68" s="151"/>
      <c r="AF68" s="151"/>
      <c r="AG68" s="151"/>
      <c r="AH68" s="151"/>
      <c r="AI68" s="151"/>
      <c r="AJ68" s="151"/>
      <c r="AK68" s="151"/>
      <c r="AL68" s="151"/>
      <c r="AM68" s="151"/>
      <c r="AN68" s="151"/>
      <c r="AO68" s="151"/>
      <c r="AP68" s="151"/>
      <c r="AQ68" s="151"/>
      <c r="AR68" s="151"/>
      <c r="AS68" s="151"/>
      <c r="AT68" s="151"/>
      <c r="AU68" s="151"/>
      <c r="AV68" s="151"/>
      <c r="AW68" s="151"/>
      <c r="AX68" s="151"/>
      <c r="AY68" s="151"/>
      <c r="AZ68" s="151"/>
      <c r="BA68" s="151"/>
      <c r="BB68" s="151"/>
      <c r="BC68" s="151"/>
      <c r="BD68" s="151"/>
      <c r="BE68" s="151"/>
      <c r="BF68" s="151"/>
      <c r="BG68" s="151"/>
      <c r="BH68" s="151"/>
      <c r="BI68" s="151"/>
      <c r="BJ68" s="151"/>
      <c r="BK68" s="151"/>
      <c r="BL68" s="151"/>
      <c r="BM68" s="151"/>
      <c r="BN68" s="151"/>
      <c r="BO68" s="151"/>
      <c r="BP68" s="151"/>
    </row>
    <row r="69" spans="2:68" ht="24" customHeight="1" x14ac:dyDescent="0.3">
      <c r="B69" s="171" t="s">
        <v>89</v>
      </c>
      <c r="C69" s="172" t="s">
        <v>211</v>
      </c>
      <c r="D69" s="173" t="s">
        <v>55</v>
      </c>
      <c r="E69" s="174"/>
      <c r="F69" s="174"/>
      <c r="G69" s="175"/>
      <c r="H69" s="176"/>
      <c r="I69" s="151"/>
      <c r="J69" s="151"/>
      <c r="K69" s="151"/>
      <c r="L69" s="151"/>
      <c r="M69" s="151"/>
      <c r="N69" s="151"/>
      <c r="O69" s="151"/>
      <c r="P69" s="151"/>
      <c r="Q69" s="151"/>
      <c r="R69" s="151"/>
      <c r="S69" s="151"/>
      <c r="T69" s="151"/>
      <c r="U69" s="151"/>
      <c r="V69" s="151"/>
      <c r="W69" s="151"/>
      <c r="X69" s="151"/>
      <c r="Y69" s="151"/>
      <c r="Z69" s="151"/>
      <c r="AA69" s="151"/>
      <c r="AB69" s="151"/>
      <c r="AC69" s="151"/>
      <c r="AD69" s="151"/>
      <c r="AE69" s="151"/>
      <c r="AF69" s="151"/>
      <c r="AG69" s="151"/>
      <c r="AH69" s="151"/>
      <c r="AI69" s="151"/>
      <c r="AJ69" s="151"/>
      <c r="AK69" s="151"/>
      <c r="AL69" s="151"/>
      <c r="AM69" s="151"/>
      <c r="AN69" s="151"/>
      <c r="AO69" s="151"/>
      <c r="AP69" s="151"/>
      <c r="AQ69" s="151"/>
      <c r="AR69" s="151"/>
      <c r="AS69" s="151"/>
      <c r="AT69" s="151"/>
      <c r="AU69" s="151"/>
      <c r="AV69" s="151"/>
      <c r="AW69" s="151"/>
      <c r="AX69" s="151"/>
      <c r="AY69" s="151"/>
      <c r="AZ69" s="151"/>
      <c r="BA69" s="151"/>
      <c r="BB69" s="151"/>
      <c r="BC69" s="151"/>
      <c r="BD69" s="151"/>
      <c r="BE69" s="151"/>
      <c r="BF69" s="151"/>
      <c r="BG69" s="151"/>
      <c r="BH69" s="151"/>
      <c r="BI69" s="151"/>
      <c r="BJ69" s="151"/>
      <c r="BK69" s="151"/>
      <c r="BL69" s="151"/>
      <c r="BM69" s="151"/>
      <c r="BN69" s="151"/>
      <c r="BO69" s="151"/>
      <c r="BP69" s="151"/>
    </row>
    <row r="70" spans="2:68" ht="24" customHeight="1" x14ac:dyDescent="0.3">
      <c r="B70" s="165" t="s">
        <v>212</v>
      </c>
      <c r="C70" s="166" t="s">
        <v>213</v>
      </c>
      <c r="D70" s="167"/>
      <c r="E70" s="168"/>
      <c r="F70" s="168"/>
      <c r="G70" s="169"/>
      <c r="H70" s="168"/>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A70" s="143"/>
      <c r="BB70" s="143"/>
      <c r="BC70" s="143"/>
      <c r="BD70" s="143"/>
      <c r="BE70" s="143"/>
      <c r="BF70" s="143"/>
      <c r="BG70" s="143"/>
      <c r="BH70" s="143"/>
      <c r="BI70" s="143"/>
      <c r="BJ70" s="143"/>
      <c r="BK70" s="143"/>
      <c r="BL70" s="143"/>
      <c r="BM70" s="143"/>
      <c r="BN70" s="143"/>
      <c r="BO70" s="143"/>
      <c r="BP70" s="143"/>
    </row>
    <row r="71" spans="2:68" ht="24" customHeight="1" x14ac:dyDescent="0.3">
      <c r="B71" s="158" t="s">
        <v>214</v>
      </c>
      <c r="C71" s="159" t="s">
        <v>215</v>
      </c>
      <c r="D71" s="160" t="s">
        <v>55</v>
      </c>
      <c r="E71" s="161">
        <v>46307</v>
      </c>
      <c r="F71" s="161">
        <v>46371</v>
      </c>
      <c r="G71" s="162">
        <f>F71-E71+1</f>
        <v>65</v>
      </c>
      <c r="H71" s="163"/>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151"/>
      <c r="AH71" s="151"/>
      <c r="AI71" s="151"/>
      <c r="AJ71" s="151"/>
      <c r="AK71" s="151"/>
      <c r="AL71" s="151"/>
      <c r="AM71" s="151"/>
      <c r="AN71" s="151"/>
      <c r="AO71" s="151"/>
      <c r="AP71" s="151"/>
      <c r="AQ71" s="151"/>
      <c r="AR71" s="151"/>
      <c r="AS71" s="151"/>
      <c r="AT71" s="151"/>
      <c r="AU71" s="151"/>
      <c r="AV71" s="151"/>
      <c r="AW71" s="151"/>
      <c r="AX71" s="151"/>
      <c r="AY71" s="151"/>
      <c r="AZ71" s="151"/>
      <c r="BA71" s="151"/>
      <c r="BB71" s="151"/>
      <c r="BC71" s="151"/>
      <c r="BD71" s="151"/>
      <c r="BE71" s="151"/>
      <c r="BF71" s="151"/>
      <c r="BG71" s="151"/>
      <c r="BH71" s="151"/>
      <c r="BI71" s="151"/>
      <c r="BJ71" s="151"/>
      <c r="BK71" s="151"/>
      <c r="BL71" s="151"/>
      <c r="BM71" s="151"/>
      <c r="BN71" s="151"/>
      <c r="BO71" s="151"/>
      <c r="BP71" s="151"/>
    </row>
    <row r="72" spans="2:68" ht="24" customHeight="1" x14ac:dyDescent="0.3">
      <c r="B72" s="152" t="s">
        <v>216</v>
      </c>
      <c r="C72" s="153" t="s">
        <v>217</v>
      </c>
      <c r="D72" s="154" t="s">
        <v>64</v>
      </c>
      <c r="E72" s="155">
        <v>46314</v>
      </c>
      <c r="F72" s="155">
        <v>46315</v>
      </c>
      <c r="G72" s="156">
        <f>F72-E72+1</f>
        <v>2</v>
      </c>
      <c r="H72" s="157"/>
      <c r="I72" s="151"/>
      <c r="J72" s="151"/>
      <c r="K72" s="151"/>
      <c r="L72" s="151"/>
      <c r="M72" s="151"/>
      <c r="N72" s="151"/>
      <c r="O72" s="151"/>
      <c r="P72" s="151"/>
      <c r="Q72" s="151"/>
      <c r="R72" s="151"/>
      <c r="S72" s="151"/>
      <c r="T72" s="151"/>
      <c r="U72" s="151"/>
      <c r="V72" s="151"/>
      <c r="W72" s="151"/>
      <c r="X72" s="151"/>
      <c r="Y72" s="151"/>
      <c r="Z72" s="151"/>
      <c r="AA72" s="151"/>
      <c r="AB72" s="151"/>
      <c r="AC72" s="151"/>
      <c r="AD72" s="151"/>
      <c r="AE72" s="151"/>
      <c r="AF72" s="151"/>
      <c r="AG72" s="151"/>
      <c r="AH72" s="151"/>
      <c r="AI72" s="151"/>
      <c r="AJ72" s="151"/>
      <c r="AK72" s="151"/>
      <c r="AL72" s="151"/>
      <c r="AM72" s="151"/>
      <c r="AN72" s="151"/>
      <c r="AO72" s="151"/>
      <c r="AP72" s="151"/>
      <c r="AQ72" s="151"/>
      <c r="AR72" s="151"/>
      <c r="AS72" s="151"/>
      <c r="AT72" s="151"/>
      <c r="AU72" s="151"/>
      <c r="AV72" s="151"/>
      <c r="AW72" s="151"/>
      <c r="AX72" s="151"/>
      <c r="AY72" s="151"/>
      <c r="AZ72" s="151"/>
      <c r="BA72" s="151"/>
      <c r="BB72" s="151"/>
      <c r="BC72" s="151"/>
      <c r="BD72" s="151"/>
      <c r="BE72" s="151"/>
      <c r="BF72" s="151"/>
      <c r="BG72" s="151"/>
      <c r="BH72" s="151"/>
      <c r="BI72" s="151"/>
      <c r="BJ72" s="151"/>
      <c r="BK72" s="151"/>
      <c r="BL72" s="151"/>
      <c r="BM72" s="151"/>
      <c r="BN72" s="151"/>
      <c r="BO72" s="151"/>
      <c r="BP72" s="151"/>
    </row>
    <row r="73" spans="2:68" ht="24" customHeight="1" x14ac:dyDescent="0.3">
      <c r="B73" s="158" t="s">
        <v>218</v>
      </c>
      <c r="C73" s="159" t="s">
        <v>219</v>
      </c>
      <c r="D73" s="160" t="s">
        <v>64</v>
      </c>
      <c r="E73" s="161">
        <v>46307</v>
      </c>
      <c r="F73" s="161">
        <v>46371</v>
      </c>
      <c r="G73" s="162">
        <f>F73-E73+1</f>
        <v>65</v>
      </c>
      <c r="H73" s="163"/>
      <c r="I73" s="151"/>
      <c r="J73" s="151"/>
      <c r="K73" s="151"/>
      <c r="L73" s="151"/>
      <c r="M73" s="151"/>
      <c r="N73" s="151"/>
      <c r="O73" s="151"/>
      <c r="P73" s="151"/>
      <c r="Q73" s="151"/>
      <c r="R73" s="151"/>
      <c r="S73" s="151"/>
      <c r="T73" s="151"/>
      <c r="U73" s="151"/>
      <c r="V73" s="151"/>
      <c r="W73" s="151"/>
      <c r="X73" s="151"/>
      <c r="Y73" s="151"/>
      <c r="Z73" s="151"/>
      <c r="AA73" s="151"/>
      <c r="AB73" s="151"/>
      <c r="AC73" s="151"/>
      <c r="AD73" s="151"/>
      <c r="AE73" s="151"/>
      <c r="AF73" s="151"/>
      <c r="AG73" s="151"/>
      <c r="AH73" s="151"/>
      <c r="AI73" s="151"/>
      <c r="AJ73" s="151"/>
      <c r="AK73" s="151"/>
      <c r="AL73" s="151"/>
      <c r="AM73" s="151"/>
      <c r="AN73" s="151"/>
      <c r="AO73" s="151"/>
      <c r="AP73" s="151"/>
      <c r="AQ73" s="151"/>
      <c r="AR73" s="151"/>
      <c r="AS73" s="151"/>
      <c r="AT73" s="151"/>
      <c r="AU73" s="151"/>
      <c r="AV73" s="151"/>
      <c r="AW73" s="151"/>
      <c r="AX73" s="151"/>
      <c r="AY73" s="151"/>
      <c r="AZ73" s="151"/>
      <c r="BA73" s="151"/>
      <c r="BB73" s="151"/>
      <c r="BC73" s="151"/>
      <c r="BD73" s="151"/>
      <c r="BE73" s="151"/>
      <c r="BF73" s="151"/>
      <c r="BG73" s="151"/>
      <c r="BH73" s="151"/>
      <c r="BI73" s="151"/>
      <c r="BJ73" s="151"/>
      <c r="BK73" s="151"/>
      <c r="BL73" s="151"/>
      <c r="BM73" s="151"/>
      <c r="BN73" s="151"/>
      <c r="BO73" s="151"/>
      <c r="BP73" s="151"/>
    </row>
    <row r="74" spans="2:68" ht="24" customHeight="1" x14ac:dyDescent="0.3">
      <c r="B74" s="152" t="s">
        <v>220</v>
      </c>
      <c r="C74" s="153" t="s">
        <v>221</v>
      </c>
      <c r="D74" s="154" t="s">
        <v>55</v>
      </c>
      <c r="E74" s="155">
        <v>46310</v>
      </c>
      <c r="F74" s="155">
        <v>46371</v>
      </c>
      <c r="G74" s="156">
        <f>F74-E74+1</f>
        <v>62</v>
      </c>
      <c r="H74" s="157"/>
      <c r="I74" s="151"/>
      <c r="J74" s="151"/>
      <c r="K74" s="151"/>
      <c r="L74" s="151"/>
      <c r="M74" s="151"/>
      <c r="N74" s="151"/>
      <c r="O74" s="151"/>
      <c r="P74" s="151"/>
      <c r="Q74" s="151"/>
      <c r="R74" s="151"/>
      <c r="S74" s="151"/>
      <c r="T74" s="151"/>
      <c r="U74" s="151"/>
      <c r="V74" s="151"/>
      <c r="W74" s="151"/>
      <c r="X74" s="151"/>
      <c r="Y74" s="151"/>
      <c r="Z74" s="151"/>
      <c r="AA74" s="151"/>
      <c r="AB74" s="151"/>
      <c r="AC74" s="151"/>
      <c r="AD74" s="151"/>
      <c r="AE74" s="151"/>
      <c r="AF74" s="151"/>
      <c r="AG74" s="151"/>
      <c r="AH74" s="151"/>
      <c r="AI74" s="151"/>
      <c r="AJ74" s="151"/>
      <c r="AK74" s="151"/>
      <c r="AL74" s="151"/>
      <c r="AM74" s="151"/>
      <c r="AN74" s="151"/>
      <c r="AO74" s="151"/>
      <c r="AP74" s="151"/>
      <c r="AQ74" s="151"/>
      <c r="AR74" s="151"/>
      <c r="AS74" s="151"/>
      <c r="AT74" s="151"/>
      <c r="AU74" s="151"/>
      <c r="AV74" s="151"/>
      <c r="AW74" s="151"/>
      <c r="AX74" s="151"/>
      <c r="AY74" s="151"/>
      <c r="AZ74" s="151"/>
      <c r="BA74" s="151"/>
      <c r="BB74" s="151"/>
      <c r="BC74" s="151"/>
      <c r="BD74" s="151"/>
      <c r="BE74" s="151"/>
      <c r="BF74" s="151"/>
      <c r="BG74" s="151"/>
      <c r="BH74" s="151"/>
      <c r="BI74" s="151"/>
      <c r="BJ74" s="151"/>
      <c r="BK74" s="151"/>
      <c r="BL74" s="151"/>
      <c r="BM74" s="151"/>
      <c r="BN74" s="151"/>
      <c r="BO74" s="151"/>
      <c r="BP74" s="151"/>
    </row>
    <row r="75" spans="2:68" ht="24" customHeight="1" x14ac:dyDescent="0.3">
      <c r="B75" s="158" t="s">
        <v>222</v>
      </c>
      <c r="C75" s="159" t="s">
        <v>223</v>
      </c>
      <c r="D75" s="160" t="s">
        <v>55</v>
      </c>
      <c r="E75" s="161">
        <v>46310</v>
      </c>
      <c r="F75" s="161">
        <v>46371</v>
      </c>
      <c r="G75" s="162">
        <f>F75-E75+1</f>
        <v>62</v>
      </c>
      <c r="H75" s="163"/>
      <c r="I75" s="151"/>
      <c r="J75" s="151"/>
      <c r="K75" s="151"/>
      <c r="L75" s="151"/>
      <c r="M75" s="151"/>
      <c r="N75" s="151"/>
      <c r="O75" s="151"/>
      <c r="P75" s="151"/>
      <c r="Q75" s="151"/>
      <c r="R75" s="151"/>
      <c r="S75" s="151"/>
      <c r="T75" s="151"/>
      <c r="U75" s="151"/>
      <c r="V75" s="151"/>
      <c r="W75" s="151"/>
      <c r="X75" s="151"/>
      <c r="Y75" s="151"/>
      <c r="Z75" s="151"/>
      <c r="AA75" s="151"/>
      <c r="AB75" s="151"/>
      <c r="AC75" s="151"/>
      <c r="AD75" s="151"/>
      <c r="AE75" s="151"/>
      <c r="AF75" s="151"/>
      <c r="AG75" s="151"/>
      <c r="AH75" s="151"/>
      <c r="AI75" s="151"/>
      <c r="AJ75" s="151"/>
      <c r="AK75" s="151"/>
      <c r="AL75" s="151"/>
      <c r="AM75" s="151"/>
      <c r="AN75" s="151"/>
      <c r="AO75" s="151"/>
      <c r="AP75" s="151"/>
      <c r="AQ75" s="151"/>
      <c r="AR75" s="151"/>
      <c r="AS75" s="151"/>
      <c r="AT75" s="151"/>
      <c r="AU75" s="151"/>
      <c r="AV75" s="151"/>
      <c r="AW75" s="151"/>
      <c r="AX75" s="151"/>
      <c r="AY75" s="151"/>
      <c r="AZ75" s="151"/>
      <c r="BA75" s="151"/>
      <c r="BB75" s="151"/>
      <c r="BC75" s="151"/>
      <c r="BD75" s="151"/>
      <c r="BE75" s="151"/>
      <c r="BF75" s="151"/>
      <c r="BG75" s="151"/>
      <c r="BH75" s="151"/>
      <c r="BI75" s="151"/>
      <c r="BJ75" s="151"/>
      <c r="BK75" s="151"/>
      <c r="BL75" s="151"/>
      <c r="BM75" s="151"/>
      <c r="BN75" s="151"/>
      <c r="BO75" s="151"/>
      <c r="BP75" s="151"/>
    </row>
    <row r="76" spans="2:68" x14ac:dyDescent="0.3">
      <c r="B76"/>
      <c r="C76"/>
      <c r="D76"/>
      <c r="G76"/>
      <c r="H76"/>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row>
    <row r="77" spans="2:68" x14ac:dyDescent="0.3">
      <c r="B77"/>
      <c r="C77"/>
      <c r="D77"/>
      <c r="G77"/>
      <c r="H77"/>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row>
    <row r="78" spans="2:68" x14ac:dyDescent="0.3">
      <c r="B78"/>
      <c r="C78"/>
      <c r="D78"/>
      <c r="G78"/>
      <c r="H78"/>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row>
    <row r="79" spans="2:68" x14ac:dyDescent="0.3">
      <c r="B79"/>
      <c r="C79"/>
      <c r="D79"/>
      <c r="G79"/>
      <c r="H79"/>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row>
    <row r="80" spans="2:68" x14ac:dyDescent="0.3">
      <c r="B80"/>
      <c r="C80"/>
      <c r="D80"/>
      <c r="G80"/>
      <c r="H80"/>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row>
    <row r="81" spans="2:68" x14ac:dyDescent="0.3">
      <c r="B81"/>
      <c r="C81"/>
      <c r="D81"/>
      <c r="G81"/>
      <c r="H81"/>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row>
    <row r="82" spans="2:68" x14ac:dyDescent="0.3">
      <c r="B82"/>
      <c r="C82"/>
      <c r="D82"/>
      <c r="G82"/>
      <c r="H82"/>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row>
    <row r="83" spans="2:68" x14ac:dyDescent="0.3">
      <c r="B83"/>
      <c r="C83"/>
      <c r="D83"/>
      <c r="G83"/>
      <c r="H83"/>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row>
    <row r="84" spans="2:68" x14ac:dyDescent="0.3">
      <c r="B84"/>
      <c r="C84"/>
      <c r="D84"/>
      <c r="G84"/>
      <c r="H84"/>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row>
    <row r="85" spans="2:68" x14ac:dyDescent="0.3">
      <c r="B85"/>
      <c r="C85"/>
      <c r="D85"/>
      <c r="G85"/>
      <c r="H8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row>
    <row r="86" spans="2:68" x14ac:dyDescent="0.3">
      <c r="B86"/>
      <c r="C86"/>
      <c r="D86"/>
      <c r="G86"/>
      <c r="H86"/>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row>
    <row r="87" spans="2:68" x14ac:dyDescent="0.3">
      <c r="B87"/>
      <c r="C87"/>
      <c r="D87"/>
      <c r="G87"/>
      <c r="H87"/>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row>
    <row r="88" spans="2:68" x14ac:dyDescent="0.3">
      <c r="B88"/>
      <c r="C88"/>
      <c r="D88"/>
      <c r="G88"/>
      <c r="H88"/>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row>
  </sheetData>
  <mergeCells count="11">
    <mergeCell ref="E7:E8"/>
    <mergeCell ref="F7:F8"/>
    <mergeCell ref="G7:G8"/>
    <mergeCell ref="H7:H8"/>
    <mergeCell ref="C2:D2"/>
    <mergeCell ref="C3:D3"/>
    <mergeCell ref="C4:D4"/>
    <mergeCell ref="C5:D5"/>
    <mergeCell ref="B7:B8"/>
    <mergeCell ref="C7:C8"/>
    <mergeCell ref="D7:D8"/>
  </mergeCells>
  <conditionalFormatting sqref="H30:H33 H9:H28">
    <cfRule type="dataBar" priority="1">
      <dataBar>
        <cfvo type="percent" val="0"/>
        <cfvo type="percent" val="100"/>
        <color theme="5" tint="0.59996337778862885"/>
      </dataBar>
      <extLst>
        <ext xmlns:x14="http://schemas.microsoft.com/office/spreadsheetml/2009/9/main" uri="{B025F937-C7B1-47D3-B67F-A62EFF666E3E}">
          <x14:id>{D9F2A879-F337-406A-82B9-46BEE6F4DEA9}</x14:id>
        </ext>
      </extLst>
    </cfRule>
    <cfRule type="dataBar" priority="4">
      <dataBar>
        <cfvo type="percent" val="0"/>
        <cfvo type="percent" val="100"/>
        <color theme="5" tint="0.59996337778862885"/>
      </dataBar>
      <extLst>
        <ext xmlns:x14="http://schemas.microsoft.com/office/spreadsheetml/2009/9/main" uri="{B025F937-C7B1-47D3-B67F-A62EFF666E3E}">
          <x14:id>{D9F2A879-F337-406A-82B9-46BEE6F4DEA9}</x14:id>
        </ext>
      </extLst>
    </cfRule>
  </conditionalFormatting>
  <conditionalFormatting sqref="I11:BP75">
    <cfRule type="expression" dxfId="3" priority="2">
      <formula>AND(I$9&gt;=$E11,I$9&lt;=$F11,$E11&lt;&gt;"",LEFT($C11,1)&lt;&gt;"◆")</formula>
    </cfRule>
    <cfRule type="expression" dxfId="2" priority="3">
      <formula>AND(I$9&gt;=$E11,I$9&lt;=$F11,$E11&lt;&gt;"",LEFT($C11,1)="◆")</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D9F2A879-F337-406A-82B9-46BEE6F4DEA9}">
            <x14:dataBar minLength="0" maxLength="100" negativeBarColorSameAsPositive="1" axisPosition="none">
              <x14:cfvo type="percent">
                <xm:f>0</xm:f>
              </x14:cfvo>
              <x14:cfvo type="percent">
                <xm:f>100</xm:f>
              </x14:cfvo>
            </x14:dataBar>
          </x14:cfRule>
          <x14:cfRule type="dataBar" id="{D9F2A879-F337-406A-82B9-46BEE6F4DEA9}">
            <x14:dataBar minLength="0" maxLength="100" gradient="0">
              <x14:cfvo type="percent">
                <xm:f>0</xm:f>
              </x14:cfvo>
              <x14:cfvo type="percent">
                <xm:f>100</xm:f>
              </x14:cfvo>
              <x14:negativeFillColor theme="0"/>
              <x14:axisColor rgb="FF000000"/>
            </x14:dataBar>
          </x14:cfRule>
          <xm:sqref>H30:H33 H9:H28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2"/>
  <sheetViews>
    <sheetView showGridLines="0" workbookViewId="0"/>
  </sheetViews>
  <sheetFormatPr defaultColWidth="10.69921875" defaultRowHeight="14.4" x14ac:dyDescent="0.3"/>
  <cols>
    <col min="1" max="1" width="3.19921875" style="15" customWidth="1"/>
    <col min="2" max="2" width="88.19921875" style="15" customWidth="1"/>
    <col min="3" max="16384" width="10.69921875" style="15"/>
  </cols>
  <sheetData>
    <row r="2" spans="2:2" ht="90" x14ac:dyDescent="0.3">
      <c r="B2" s="14"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5"/>
  <sheetViews>
    <sheetView workbookViewId="0">
      <pane ySplit="6" topLeftCell="A7" activePane="bottomLeft" state="frozen"/>
      <selection pane="bottomLeft" sqref="A1:I1"/>
    </sheetView>
  </sheetViews>
  <sheetFormatPr defaultRowHeight="15.6" x14ac:dyDescent="0.3"/>
  <cols>
    <col min="1" max="1" width="13" customWidth="1"/>
    <col min="2" max="2" width="53" customWidth="1"/>
    <col min="3" max="3" width="16" customWidth="1"/>
    <col min="4" max="5" width="13" customWidth="1"/>
    <col min="6" max="6" width="31" customWidth="1"/>
    <col min="7" max="9" width="17" customWidth="1"/>
  </cols>
  <sheetData>
    <row r="1" spans="1:9" ht="34.950000000000003" customHeight="1" x14ac:dyDescent="0.4">
      <c r="A1" s="119" t="s">
        <v>224</v>
      </c>
      <c r="B1" s="119"/>
      <c r="C1" s="119"/>
      <c r="D1" s="119"/>
      <c r="E1" s="119"/>
      <c r="F1" s="119"/>
      <c r="G1" s="119"/>
      <c r="H1" s="119"/>
      <c r="I1" s="119"/>
    </row>
    <row r="3" spans="1:9" x14ac:dyDescent="0.3">
      <c r="A3" s="120" t="s">
        <v>225</v>
      </c>
      <c r="B3" s="120"/>
      <c r="C3" s="120"/>
      <c r="D3" s="120"/>
      <c r="E3" s="120"/>
      <c r="F3" s="120"/>
      <c r="G3" s="120"/>
      <c r="H3" s="120"/>
      <c r="I3" s="120"/>
    </row>
    <row r="4" spans="1:9" x14ac:dyDescent="0.3">
      <c r="A4" s="121" t="s">
        <v>226</v>
      </c>
      <c r="B4" s="120"/>
      <c r="C4" s="120"/>
      <c r="D4" s="120"/>
      <c r="E4" s="120"/>
      <c r="F4" s="120"/>
      <c r="G4" s="120"/>
      <c r="H4" s="120"/>
      <c r="I4" s="120"/>
    </row>
    <row r="6" spans="1:9" ht="28.05" customHeight="1" x14ac:dyDescent="0.3">
      <c r="A6" s="86" t="s">
        <v>39</v>
      </c>
      <c r="B6" s="86" t="s">
        <v>227</v>
      </c>
      <c r="C6" s="86" t="s">
        <v>41</v>
      </c>
      <c r="D6" s="86" t="s">
        <v>228</v>
      </c>
      <c r="E6" s="86" t="s">
        <v>229</v>
      </c>
      <c r="F6" s="86" t="s">
        <v>230</v>
      </c>
      <c r="G6" s="86" t="s">
        <v>231</v>
      </c>
      <c r="H6" s="86" t="s">
        <v>232</v>
      </c>
      <c r="I6" s="86" t="s">
        <v>233</v>
      </c>
    </row>
    <row r="7" spans="1:9" ht="22.05" customHeight="1" x14ac:dyDescent="0.3">
      <c r="A7" t="s">
        <v>104</v>
      </c>
      <c r="B7" s="82" t="s">
        <v>105</v>
      </c>
      <c r="C7" s="82" t="s">
        <v>64</v>
      </c>
      <c r="D7" s="82" t="s">
        <v>9</v>
      </c>
      <c r="E7" s="82">
        <v>3</v>
      </c>
      <c r="F7" s="82" t="s">
        <v>234</v>
      </c>
      <c r="G7" s="92">
        <v>46309</v>
      </c>
      <c r="H7" s="92">
        <v>46310</v>
      </c>
    </row>
    <row r="8" spans="1:9" ht="22.05" customHeight="1" x14ac:dyDescent="0.3">
      <c r="A8" s="87" t="s">
        <v>106</v>
      </c>
      <c r="B8" s="88" t="s">
        <v>107</v>
      </c>
      <c r="C8" s="88" t="s">
        <v>64</v>
      </c>
      <c r="D8" s="88" t="s">
        <v>9</v>
      </c>
      <c r="E8" s="88">
        <v>2</v>
      </c>
      <c r="F8" s="88" t="s">
        <v>104</v>
      </c>
      <c r="G8" s="93">
        <v>46311</v>
      </c>
      <c r="H8" s="93">
        <v>46314</v>
      </c>
      <c r="I8" s="87"/>
    </row>
    <row r="9" spans="1:9" ht="22.05" customHeight="1" x14ac:dyDescent="0.3">
      <c r="A9" t="s">
        <v>108</v>
      </c>
      <c r="B9" s="82" t="s">
        <v>109</v>
      </c>
      <c r="C9" s="82" t="s">
        <v>64</v>
      </c>
      <c r="D9" s="82" t="s">
        <v>9</v>
      </c>
      <c r="E9" s="82">
        <v>3</v>
      </c>
      <c r="F9" s="82" t="s">
        <v>104</v>
      </c>
      <c r="G9" s="92">
        <v>46311</v>
      </c>
      <c r="H9" s="92">
        <v>46314</v>
      </c>
    </row>
    <row r="10" spans="1:9" ht="22.05" customHeight="1" x14ac:dyDescent="0.3">
      <c r="A10" s="87" t="s">
        <v>110</v>
      </c>
      <c r="B10" s="88" t="s">
        <v>111</v>
      </c>
      <c r="C10" s="88" t="s">
        <v>112</v>
      </c>
      <c r="D10" s="88" t="s">
        <v>9</v>
      </c>
      <c r="E10" s="88">
        <v>1.5</v>
      </c>
      <c r="F10" s="88" t="s">
        <v>234</v>
      </c>
      <c r="G10" s="93">
        <v>46310</v>
      </c>
      <c r="H10" s="93">
        <v>46311</v>
      </c>
      <c r="I10" s="87"/>
    </row>
    <row r="11" spans="1:9" ht="22.05" customHeight="1" x14ac:dyDescent="0.3">
      <c r="A11" t="s">
        <v>113</v>
      </c>
      <c r="B11" s="82" t="s">
        <v>114</v>
      </c>
      <c r="C11" s="82" t="s">
        <v>112</v>
      </c>
      <c r="D11" s="82" t="s">
        <v>9</v>
      </c>
      <c r="E11" s="82">
        <v>3</v>
      </c>
      <c r="F11" s="82" t="s">
        <v>234</v>
      </c>
      <c r="G11" s="92">
        <v>46311</v>
      </c>
      <c r="H11" s="92">
        <v>46314</v>
      </c>
    </row>
    <row r="12" spans="1:9" ht="22.05" customHeight="1" x14ac:dyDescent="0.3">
      <c r="A12" s="87" t="s">
        <v>115</v>
      </c>
      <c r="B12" s="88" t="s">
        <v>116</v>
      </c>
      <c r="C12" s="88" t="s">
        <v>112</v>
      </c>
      <c r="D12" s="88" t="s">
        <v>9</v>
      </c>
      <c r="E12" s="88">
        <v>2</v>
      </c>
      <c r="F12" s="88" t="s">
        <v>234</v>
      </c>
      <c r="G12" s="93">
        <v>46311</v>
      </c>
      <c r="H12" s="93">
        <v>46314</v>
      </c>
      <c r="I12" s="87"/>
    </row>
    <row r="13" spans="1:9" ht="22.05" customHeight="1" x14ac:dyDescent="0.3">
      <c r="A13" t="s">
        <v>117</v>
      </c>
      <c r="B13" s="82" t="s">
        <v>118</v>
      </c>
      <c r="C13" s="82" t="s">
        <v>55</v>
      </c>
      <c r="D13" s="82" t="s">
        <v>9</v>
      </c>
      <c r="E13" s="82">
        <v>1.5</v>
      </c>
      <c r="F13" s="82" t="s">
        <v>234</v>
      </c>
      <c r="G13" s="92">
        <v>46310</v>
      </c>
      <c r="H13" s="92">
        <v>46314</v>
      </c>
    </row>
    <row r="14" spans="1:9" ht="22.05" customHeight="1" x14ac:dyDescent="0.3">
      <c r="A14" s="87" t="s">
        <v>119</v>
      </c>
      <c r="B14" s="88" t="s">
        <v>120</v>
      </c>
      <c r="C14" s="88" t="s">
        <v>55</v>
      </c>
      <c r="D14" s="88" t="s">
        <v>9</v>
      </c>
      <c r="E14" s="88">
        <v>3.5</v>
      </c>
      <c r="F14" s="88" t="s">
        <v>104</v>
      </c>
      <c r="G14" s="93">
        <v>46311</v>
      </c>
      <c r="H14" s="93">
        <v>46314</v>
      </c>
      <c r="I14" s="87"/>
    </row>
    <row r="15" spans="1:9" ht="22.05" customHeight="1" x14ac:dyDescent="0.3">
      <c r="A15" t="s">
        <v>121</v>
      </c>
      <c r="B15" s="82" t="s">
        <v>122</v>
      </c>
      <c r="C15" s="82" t="s">
        <v>55</v>
      </c>
      <c r="D15" s="82" t="s">
        <v>9</v>
      </c>
      <c r="E15" s="82">
        <v>3</v>
      </c>
      <c r="F15" s="82" t="s">
        <v>119</v>
      </c>
      <c r="G15" s="92">
        <v>46314</v>
      </c>
      <c r="H15" s="92">
        <v>46315</v>
      </c>
    </row>
    <row r="16" spans="1:9" ht="22.05" customHeight="1" x14ac:dyDescent="0.3">
      <c r="A16" s="87" t="s">
        <v>123</v>
      </c>
      <c r="B16" s="88" t="s">
        <v>124</v>
      </c>
      <c r="C16" s="88" t="s">
        <v>86</v>
      </c>
      <c r="D16" s="88" t="s">
        <v>9</v>
      </c>
      <c r="E16" s="88">
        <v>4</v>
      </c>
      <c r="F16" s="88" t="s">
        <v>235</v>
      </c>
      <c r="G16" s="93">
        <v>46314</v>
      </c>
      <c r="H16" s="93">
        <v>46315</v>
      </c>
      <c r="I16" s="87"/>
    </row>
    <row r="17" spans="1:9" ht="22.05" customHeight="1" x14ac:dyDescent="0.3">
      <c r="A17" t="s">
        <v>125</v>
      </c>
      <c r="B17" s="82" t="s">
        <v>126</v>
      </c>
      <c r="C17" s="82" t="s">
        <v>86</v>
      </c>
      <c r="D17" s="82" t="s">
        <v>9</v>
      </c>
      <c r="E17" s="82">
        <v>2</v>
      </c>
      <c r="F17" s="82" t="s">
        <v>121</v>
      </c>
      <c r="G17" s="92">
        <v>46314</v>
      </c>
      <c r="H17" s="92">
        <v>46315</v>
      </c>
    </row>
    <row r="18" spans="1:9" ht="22.05" customHeight="1" x14ac:dyDescent="0.3">
      <c r="A18" s="87" t="s">
        <v>127</v>
      </c>
      <c r="B18" s="88" t="s">
        <v>128</v>
      </c>
      <c r="C18" s="88" t="s">
        <v>86</v>
      </c>
      <c r="D18" s="88" t="s">
        <v>9</v>
      </c>
      <c r="E18" s="88">
        <v>4</v>
      </c>
      <c r="F18" s="88" t="s">
        <v>234</v>
      </c>
      <c r="G18" s="93">
        <v>46314</v>
      </c>
      <c r="H18" s="93">
        <v>46315</v>
      </c>
      <c r="I18" s="87"/>
    </row>
    <row r="19" spans="1:9" ht="22.05" customHeight="1" x14ac:dyDescent="0.3">
      <c r="A19" t="s">
        <v>129</v>
      </c>
      <c r="B19" s="82" t="s">
        <v>130</v>
      </c>
      <c r="C19" s="82" t="s">
        <v>112</v>
      </c>
      <c r="D19" s="82" t="s">
        <v>9</v>
      </c>
      <c r="E19" s="82">
        <v>2.5</v>
      </c>
      <c r="F19" s="82" t="s">
        <v>234</v>
      </c>
      <c r="G19" s="92">
        <v>46310</v>
      </c>
      <c r="H19" s="92">
        <v>46315</v>
      </c>
    </row>
    <row r="20" spans="1:9" ht="22.05" customHeight="1" x14ac:dyDescent="0.3">
      <c r="A20" s="89" t="s">
        <v>53</v>
      </c>
      <c r="B20" s="90" t="s">
        <v>236</v>
      </c>
      <c r="C20" s="90" t="s">
        <v>55</v>
      </c>
      <c r="D20" s="90" t="s">
        <v>9</v>
      </c>
      <c r="E20" s="90">
        <v>2</v>
      </c>
      <c r="F20" s="90" t="s">
        <v>237</v>
      </c>
      <c r="G20" s="94">
        <v>46315</v>
      </c>
      <c r="H20" s="94">
        <v>46315</v>
      </c>
      <c r="I20" s="91" t="s">
        <v>238</v>
      </c>
    </row>
    <row r="21" spans="1:9" ht="22.05" customHeight="1" x14ac:dyDescent="0.3">
      <c r="A21" t="s">
        <v>133</v>
      </c>
      <c r="B21" s="82" t="s">
        <v>134</v>
      </c>
      <c r="C21" s="82" t="s">
        <v>64</v>
      </c>
      <c r="D21" s="82" t="s">
        <v>10</v>
      </c>
      <c r="E21" s="82">
        <v>6</v>
      </c>
      <c r="F21" s="82" t="s">
        <v>53</v>
      </c>
      <c r="G21" s="92">
        <v>46316</v>
      </c>
      <c r="H21" s="92">
        <v>46318</v>
      </c>
    </row>
    <row r="22" spans="1:9" ht="22.05" customHeight="1" x14ac:dyDescent="0.3">
      <c r="A22" s="87" t="s">
        <v>135</v>
      </c>
      <c r="B22" s="88" t="s">
        <v>136</v>
      </c>
      <c r="C22" s="88" t="s">
        <v>86</v>
      </c>
      <c r="D22" s="88" t="s">
        <v>10</v>
      </c>
      <c r="E22" s="88">
        <v>7</v>
      </c>
      <c r="F22" s="88" t="s">
        <v>234</v>
      </c>
      <c r="G22" s="93">
        <v>46316</v>
      </c>
      <c r="H22" s="93">
        <v>46321</v>
      </c>
      <c r="I22" s="87"/>
    </row>
    <row r="23" spans="1:9" ht="22.05" customHeight="1" x14ac:dyDescent="0.3">
      <c r="A23" t="s">
        <v>137</v>
      </c>
      <c r="B23" s="82" t="s">
        <v>138</v>
      </c>
      <c r="C23" s="82" t="s">
        <v>64</v>
      </c>
      <c r="D23" s="82" t="s">
        <v>10</v>
      </c>
      <c r="E23" s="82">
        <v>4</v>
      </c>
      <c r="F23" s="82" t="s">
        <v>133</v>
      </c>
      <c r="G23" s="92">
        <v>46318</v>
      </c>
      <c r="H23" s="92">
        <v>46322</v>
      </c>
    </row>
    <row r="24" spans="1:9" ht="22.05" customHeight="1" x14ac:dyDescent="0.3">
      <c r="A24" s="87" t="s">
        <v>139</v>
      </c>
      <c r="B24" s="88" t="s">
        <v>140</v>
      </c>
      <c r="C24" s="88" t="s">
        <v>55</v>
      </c>
      <c r="D24" s="88" t="s">
        <v>10</v>
      </c>
      <c r="E24" s="88">
        <v>10</v>
      </c>
      <c r="F24" s="88" t="s">
        <v>137</v>
      </c>
      <c r="G24" s="93">
        <v>46322</v>
      </c>
      <c r="H24" s="93">
        <v>46325</v>
      </c>
      <c r="I24" s="87"/>
    </row>
    <row r="25" spans="1:9" ht="22.05" customHeight="1" x14ac:dyDescent="0.3">
      <c r="A25" t="s">
        <v>141</v>
      </c>
      <c r="B25" s="82" t="s">
        <v>142</v>
      </c>
      <c r="C25" s="82" t="s">
        <v>112</v>
      </c>
      <c r="D25" s="82" t="s">
        <v>10</v>
      </c>
      <c r="E25" s="82">
        <v>10</v>
      </c>
      <c r="F25" s="82" t="s">
        <v>133</v>
      </c>
      <c r="G25" s="92">
        <v>46317</v>
      </c>
      <c r="H25" s="92">
        <v>46324</v>
      </c>
    </row>
    <row r="26" spans="1:9" ht="22.05" customHeight="1" x14ac:dyDescent="0.3">
      <c r="A26" s="87" t="s">
        <v>143</v>
      </c>
      <c r="B26" s="88" t="s">
        <v>144</v>
      </c>
      <c r="C26" s="88" t="s">
        <v>86</v>
      </c>
      <c r="D26" s="88" t="s">
        <v>10</v>
      </c>
      <c r="E26" s="88">
        <v>5</v>
      </c>
      <c r="F26" s="88" t="s">
        <v>239</v>
      </c>
      <c r="G26" s="93">
        <v>46325</v>
      </c>
      <c r="H26" s="93">
        <v>46328</v>
      </c>
      <c r="I26" s="87"/>
    </row>
    <row r="27" spans="1:9" ht="22.05" customHeight="1" x14ac:dyDescent="0.3">
      <c r="A27" s="89" t="s">
        <v>58</v>
      </c>
      <c r="B27" s="90" t="s">
        <v>240</v>
      </c>
      <c r="C27" s="90" t="s">
        <v>55</v>
      </c>
      <c r="D27" s="90" t="s">
        <v>10</v>
      </c>
      <c r="E27" s="90">
        <v>4</v>
      </c>
      <c r="F27" s="90" t="s">
        <v>241</v>
      </c>
      <c r="G27" s="94">
        <v>46328</v>
      </c>
      <c r="H27" s="94">
        <v>46329</v>
      </c>
      <c r="I27" s="91" t="s">
        <v>238</v>
      </c>
    </row>
    <row r="28" spans="1:9" ht="22.05" customHeight="1" x14ac:dyDescent="0.3">
      <c r="A28" s="87" t="s">
        <v>147</v>
      </c>
      <c r="B28" s="88" t="s">
        <v>148</v>
      </c>
      <c r="C28" s="88" t="s">
        <v>112</v>
      </c>
      <c r="D28" s="88" t="s">
        <v>11</v>
      </c>
      <c r="E28" s="88">
        <v>7</v>
      </c>
      <c r="F28" s="88" t="s">
        <v>58</v>
      </c>
      <c r="G28" s="93">
        <v>46330</v>
      </c>
      <c r="H28" s="93">
        <v>46335</v>
      </c>
      <c r="I28" s="87"/>
    </row>
    <row r="29" spans="1:9" ht="22.05" customHeight="1" x14ac:dyDescent="0.3">
      <c r="A29" t="s">
        <v>149</v>
      </c>
      <c r="B29" s="82" t="s">
        <v>150</v>
      </c>
      <c r="C29" s="82" t="s">
        <v>55</v>
      </c>
      <c r="D29" s="82" t="s">
        <v>11</v>
      </c>
      <c r="E29" s="82">
        <v>5</v>
      </c>
      <c r="F29" s="82" t="s">
        <v>147</v>
      </c>
      <c r="G29" s="92">
        <v>46335</v>
      </c>
      <c r="H29" s="92">
        <v>46338</v>
      </c>
    </row>
    <row r="30" spans="1:9" ht="22.05" customHeight="1" x14ac:dyDescent="0.3">
      <c r="A30" s="87" t="s">
        <v>151</v>
      </c>
      <c r="B30" s="88" t="s">
        <v>152</v>
      </c>
      <c r="C30" s="88" t="s">
        <v>64</v>
      </c>
      <c r="D30" s="88" t="s">
        <v>11</v>
      </c>
      <c r="E30" s="88">
        <v>7</v>
      </c>
      <c r="F30" s="88" t="s">
        <v>58</v>
      </c>
      <c r="G30" s="93">
        <v>46331</v>
      </c>
      <c r="H30" s="93">
        <v>46336</v>
      </c>
      <c r="I30" s="87"/>
    </row>
    <row r="31" spans="1:9" ht="22.05" customHeight="1" x14ac:dyDescent="0.3">
      <c r="A31" t="s">
        <v>153</v>
      </c>
      <c r="B31" s="82" t="s">
        <v>154</v>
      </c>
      <c r="C31" s="82" t="s">
        <v>55</v>
      </c>
      <c r="D31" s="82" t="s">
        <v>11</v>
      </c>
      <c r="E31" s="82">
        <v>10</v>
      </c>
      <c r="F31" s="82" t="s">
        <v>151</v>
      </c>
      <c r="G31" s="92">
        <v>46336</v>
      </c>
      <c r="H31" s="92">
        <v>46339</v>
      </c>
    </row>
    <row r="32" spans="1:9" ht="22.05" customHeight="1" x14ac:dyDescent="0.3">
      <c r="A32" s="87" t="s">
        <v>155</v>
      </c>
      <c r="B32" s="88" t="s">
        <v>156</v>
      </c>
      <c r="C32" s="88" t="s">
        <v>86</v>
      </c>
      <c r="D32" s="88" t="s">
        <v>11</v>
      </c>
      <c r="E32" s="88">
        <v>7</v>
      </c>
      <c r="F32" s="88" t="s">
        <v>58</v>
      </c>
      <c r="G32" s="93">
        <v>46331</v>
      </c>
      <c r="H32" s="93">
        <v>46336</v>
      </c>
      <c r="I32" s="87"/>
    </row>
    <row r="33" spans="1:9" ht="22.05" customHeight="1" x14ac:dyDescent="0.3">
      <c r="A33" t="s">
        <v>157</v>
      </c>
      <c r="B33" s="82" t="s">
        <v>158</v>
      </c>
      <c r="C33" s="82" t="s">
        <v>86</v>
      </c>
      <c r="D33" s="82" t="s">
        <v>11</v>
      </c>
      <c r="E33" s="82">
        <v>5</v>
      </c>
      <c r="F33" s="82" t="s">
        <v>155</v>
      </c>
      <c r="G33" s="92">
        <v>46336</v>
      </c>
      <c r="H33" s="92">
        <v>46338</v>
      </c>
    </row>
    <row r="34" spans="1:9" ht="22.05" customHeight="1" x14ac:dyDescent="0.3">
      <c r="A34" s="87" t="s">
        <v>159</v>
      </c>
      <c r="B34" s="88" t="s">
        <v>160</v>
      </c>
      <c r="C34" s="88" t="s">
        <v>112</v>
      </c>
      <c r="D34" s="88" t="s">
        <v>11</v>
      </c>
      <c r="E34" s="88">
        <v>6</v>
      </c>
      <c r="F34" s="88" t="s">
        <v>141</v>
      </c>
      <c r="G34" s="93">
        <v>46335</v>
      </c>
      <c r="H34" s="93">
        <v>46339</v>
      </c>
      <c r="I34" s="87"/>
    </row>
    <row r="35" spans="1:9" ht="22.05" customHeight="1" x14ac:dyDescent="0.3">
      <c r="A35" s="89" t="s">
        <v>62</v>
      </c>
      <c r="B35" s="90" t="s">
        <v>242</v>
      </c>
      <c r="C35" s="90" t="s">
        <v>64</v>
      </c>
      <c r="D35" s="90" t="s">
        <v>11</v>
      </c>
      <c r="E35" s="90">
        <v>4</v>
      </c>
      <c r="F35" s="90" t="s">
        <v>243</v>
      </c>
      <c r="G35" s="94">
        <v>46342</v>
      </c>
      <c r="H35" s="94">
        <v>46343</v>
      </c>
      <c r="I35" s="91" t="s">
        <v>238</v>
      </c>
    </row>
    <row r="36" spans="1:9" ht="22.05" customHeight="1" x14ac:dyDescent="0.3">
      <c r="A36" s="87" t="s">
        <v>163</v>
      </c>
      <c r="B36" s="88" t="s">
        <v>164</v>
      </c>
      <c r="C36" s="88" t="s">
        <v>64</v>
      </c>
      <c r="D36" s="88" t="s">
        <v>12</v>
      </c>
      <c r="E36" s="88">
        <v>8</v>
      </c>
      <c r="F36" s="88" t="s">
        <v>62</v>
      </c>
      <c r="G36" s="93">
        <v>46344</v>
      </c>
      <c r="H36" s="93">
        <v>46349</v>
      </c>
      <c r="I36" s="87"/>
    </row>
    <row r="37" spans="1:9" ht="22.05" customHeight="1" x14ac:dyDescent="0.3">
      <c r="A37" t="s">
        <v>165</v>
      </c>
      <c r="B37" s="82" t="s">
        <v>166</v>
      </c>
      <c r="C37" s="82" t="s">
        <v>55</v>
      </c>
      <c r="D37" s="82" t="s">
        <v>12</v>
      </c>
      <c r="E37" s="82">
        <v>8</v>
      </c>
      <c r="F37" s="82" t="s">
        <v>163</v>
      </c>
      <c r="G37" s="92">
        <v>46349</v>
      </c>
      <c r="H37" s="92">
        <v>46352</v>
      </c>
    </row>
    <row r="38" spans="1:9" ht="28.05" customHeight="1" x14ac:dyDescent="0.3">
      <c r="A38" s="87" t="s">
        <v>167</v>
      </c>
      <c r="B38" s="88" t="s">
        <v>168</v>
      </c>
      <c r="C38" s="88" t="s">
        <v>112</v>
      </c>
      <c r="D38" s="88" t="s">
        <v>12</v>
      </c>
      <c r="E38" s="88">
        <v>6</v>
      </c>
      <c r="F38" s="88" t="s">
        <v>163</v>
      </c>
      <c r="G38" s="93">
        <v>46349</v>
      </c>
      <c r="H38" s="93">
        <v>46352</v>
      </c>
      <c r="I38" s="87"/>
    </row>
    <row r="39" spans="1:9" ht="22.05" customHeight="1" x14ac:dyDescent="0.3">
      <c r="A39" t="s">
        <v>169</v>
      </c>
      <c r="B39" s="82" t="s">
        <v>170</v>
      </c>
      <c r="C39" s="82" t="s">
        <v>86</v>
      </c>
      <c r="D39" s="82" t="s">
        <v>12</v>
      </c>
      <c r="E39" s="82">
        <v>11</v>
      </c>
      <c r="F39" s="82" t="s">
        <v>244</v>
      </c>
      <c r="G39" s="92">
        <v>46351</v>
      </c>
      <c r="H39" s="92">
        <v>46356</v>
      </c>
    </row>
    <row r="40" spans="1:9" ht="22.05" customHeight="1" x14ac:dyDescent="0.3">
      <c r="A40" s="87" t="s">
        <v>171</v>
      </c>
      <c r="B40" s="88" t="s">
        <v>172</v>
      </c>
      <c r="C40" s="88" t="s">
        <v>112</v>
      </c>
      <c r="D40" s="88" t="s">
        <v>12</v>
      </c>
      <c r="E40" s="88">
        <v>4</v>
      </c>
      <c r="F40" s="88" t="s">
        <v>169</v>
      </c>
      <c r="G40" s="93">
        <v>46353</v>
      </c>
      <c r="H40" s="93">
        <v>46356</v>
      </c>
      <c r="I40" s="87"/>
    </row>
    <row r="41" spans="1:9" ht="22.05" customHeight="1" x14ac:dyDescent="0.3">
      <c r="A41" s="89" t="s">
        <v>67</v>
      </c>
      <c r="B41" s="90" t="s">
        <v>245</v>
      </c>
      <c r="C41" s="90" t="s">
        <v>55</v>
      </c>
      <c r="D41" s="90" t="s">
        <v>12</v>
      </c>
      <c r="E41" s="90">
        <v>3</v>
      </c>
      <c r="F41" s="90" t="s">
        <v>246</v>
      </c>
      <c r="G41" s="94">
        <v>46356</v>
      </c>
      <c r="H41" s="94">
        <v>46357</v>
      </c>
      <c r="I41" s="91" t="s">
        <v>238</v>
      </c>
    </row>
    <row r="42" spans="1:9" ht="22.05" customHeight="1" x14ac:dyDescent="0.3">
      <c r="A42" s="87" t="s">
        <v>176</v>
      </c>
      <c r="B42" s="88" t="s">
        <v>177</v>
      </c>
      <c r="C42" s="88" t="s">
        <v>112</v>
      </c>
      <c r="D42" s="88" t="s">
        <v>13</v>
      </c>
      <c r="E42" s="88">
        <v>7</v>
      </c>
      <c r="F42" s="88" t="s">
        <v>67</v>
      </c>
      <c r="G42" s="93">
        <v>46358</v>
      </c>
      <c r="H42" s="93">
        <v>46360</v>
      </c>
      <c r="I42" s="87"/>
    </row>
    <row r="43" spans="1:9" ht="28.05" customHeight="1" x14ac:dyDescent="0.3">
      <c r="A43" t="s">
        <v>178</v>
      </c>
      <c r="B43" s="82" t="s">
        <v>179</v>
      </c>
      <c r="C43" s="82" t="s">
        <v>64</v>
      </c>
      <c r="D43" s="82" t="s">
        <v>13</v>
      </c>
      <c r="E43" s="82">
        <v>7</v>
      </c>
      <c r="F43" s="82" t="s">
        <v>157</v>
      </c>
      <c r="G43" s="92">
        <v>46358</v>
      </c>
      <c r="H43" s="92">
        <v>46360</v>
      </c>
    </row>
    <row r="44" spans="1:9" ht="28.05" customHeight="1" x14ac:dyDescent="0.3">
      <c r="A44" s="87" t="s">
        <v>180</v>
      </c>
      <c r="B44" s="88" t="s">
        <v>181</v>
      </c>
      <c r="C44" s="88" t="s">
        <v>55</v>
      </c>
      <c r="D44" s="88" t="s">
        <v>13</v>
      </c>
      <c r="E44" s="88">
        <v>10</v>
      </c>
      <c r="F44" s="88" t="s">
        <v>247</v>
      </c>
      <c r="G44" s="93">
        <v>46360</v>
      </c>
      <c r="H44" s="93">
        <v>46364</v>
      </c>
      <c r="I44" s="87"/>
    </row>
    <row r="45" spans="1:9" ht="28.05" customHeight="1" x14ac:dyDescent="0.3">
      <c r="A45" t="s">
        <v>182</v>
      </c>
      <c r="B45" s="82" t="s">
        <v>183</v>
      </c>
      <c r="C45" s="82" t="s">
        <v>64</v>
      </c>
      <c r="D45" s="82" t="s">
        <v>13</v>
      </c>
      <c r="E45" s="82">
        <v>10</v>
      </c>
      <c r="F45" s="82" t="s">
        <v>178</v>
      </c>
      <c r="G45" s="92">
        <v>46360</v>
      </c>
      <c r="H45" s="92">
        <v>46365</v>
      </c>
    </row>
    <row r="46" spans="1:9" ht="28.05" customHeight="1" x14ac:dyDescent="0.3">
      <c r="A46" s="87" t="s">
        <v>184</v>
      </c>
      <c r="B46" s="88" t="s">
        <v>185</v>
      </c>
      <c r="C46" s="88" t="s">
        <v>112</v>
      </c>
      <c r="D46" s="88" t="s">
        <v>13</v>
      </c>
      <c r="E46" s="88">
        <v>8</v>
      </c>
      <c r="F46" s="88" t="s">
        <v>248</v>
      </c>
      <c r="G46" s="93">
        <v>46364</v>
      </c>
      <c r="H46" s="93">
        <v>46367</v>
      </c>
      <c r="I46" s="87"/>
    </row>
    <row r="47" spans="1:9" ht="28.05" customHeight="1" x14ac:dyDescent="0.3">
      <c r="A47" t="s">
        <v>186</v>
      </c>
      <c r="B47" s="82" t="s">
        <v>187</v>
      </c>
      <c r="C47" s="82" t="s">
        <v>55</v>
      </c>
      <c r="D47" s="82" t="s">
        <v>13</v>
      </c>
      <c r="E47" s="82">
        <v>8</v>
      </c>
      <c r="F47" s="82" t="s">
        <v>249</v>
      </c>
      <c r="G47" s="92">
        <v>46365</v>
      </c>
      <c r="H47" s="92">
        <v>46367</v>
      </c>
    </row>
    <row r="48" spans="1:9" ht="28.05" customHeight="1" x14ac:dyDescent="0.3">
      <c r="A48" s="87" t="s">
        <v>188</v>
      </c>
      <c r="B48" s="88" t="s">
        <v>189</v>
      </c>
      <c r="C48" s="88" t="s">
        <v>55</v>
      </c>
      <c r="D48" s="88" t="s">
        <v>13</v>
      </c>
      <c r="E48" s="88">
        <v>8</v>
      </c>
      <c r="F48" s="88" t="s">
        <v>180</v>
      </c>
      <c r="G48" s="93">
        <v>46363</v>
      </c>
      <c r="H48" s="93">
        <v>46366</v>
      </c>
      <c r="I48" s="87"/>
    </row>
    <row r="49" spans="1:9" ht="28.05" customHeight="1" x14ac:dyDescent="0.3">
      <c r="A49" t="s">
        <v>190</v>
      </c>
      <c r="B49" s="82" t="s">
        <v>191</v>
      </c>
      <c r="C49" s="82" t="s">
        <v>64</v>
      </c>
      <c r="D49" s="82" t="s">
        <v>13</v>
      </c>
      <c r="E49" s="82">
        <v>7</v>
      </c>
      <c r="F49" s="82" t="s">
        <v>188</v>
      </c>
      <c r="G49" s="92">
        <v>46365</v>
      </c>
      <c r="H49" s="92">
        <v>46367</v>
      </c>
    </row>
    <row r="50" spans="1:9" ht="28.05" customHeight="1" x14ac:dyDescent="0.3">
      <c r="A50" s="87" t="s">
        <v>192</v>
      </c>
      <c r="B50" s="88" t="s">
        <v>193</v>
      </c>
      <c r="C50" s="88" t="s">
        <v>55</v>
      </c>
      <c r="D50" s="88" t="s">
        <v>13</v>
      </c>
      <c r="E50" s="88">
        <v>13</v>
      </c>
      <c r="F50" s="88" t="s">
        <v>250</v>
      </c>
      <c r="G50" s="93">
        <v>46367</v>
      </c>
      <c r="H50" s="93">
        <v>46370</v>
      </c>
      <c r="I50" s="87"/>
    </row>
    <row r="51" spans="1:9" ht="28.05" customHeight="1" x14ac:dyDescent="0.3">
      <c r="A51" t="s">
        <v>194</v>
      </c>
      <c r="B51" s="82" t="s">
        <v>195</v>
      </c>
      <c r="C51" s="82" t="s">
        <v>64</v>
      </c>
      <c r="D51" s="82" t="s">
        <v>13</v>
      </c>
      <c r="E51" s="82">
        <v>9</v>
      </c>
      <c r="F51" s="82" t="s">
        <v>251</v>
      </c>
      <c r="G51" s="92">
        <v>46367</v>
      </c>
      <c r="H51" s="92">
        <v>46370</v>
      </c>
    </row>
    <row r="52" spans="1:9" ht="22.05" customHeight="1" x14ac:dyDescent="0.3">
      <c r="A52" s="87" t="s">
        <v>196</v>
      </c>
      <c r="B52" s="88" t="s">
        <v>197</v>
      </c>
      <c r="C52" s="88" t="s">
        <v>112</v>
      </c>
      <c r="D52" s="88" t="s">
        <v>13</v>
      </c>
      <c r="E52" s="88">
        <v>10</v>
      </c>
      <c r="F52" s="88" t="s">
        <v>248</v>
      </c>
      <c r="G52" s="93">
        <v>46364</v>
      </c>
      <c r="H52" s="93">
        <v>46370</v>
      </c>
      <c r="I52" s="87"/>
    </row>
    <row r="53" spans="1:9" ht="22.05" customHeight="1" x14ac:dyDescent="0.3">
      <c r="A53" t="s">
        <v>198</v>
      </c>
      <c r="B53" s="82" t="s">
        <v>199</v>
      </c>
      <c r="C53" s="82" t="s">
        <v>86</v>
      </c>
      <c r="D53" s="82" t="s">
        <v>13</v>
      </c>
      <c r="E53" s="82">
        <v>10</v>
      </c>
      <c r="F53" s="82" t="s">
        <v>176</v>
      </c>
      <c r="G53" s="92">
        <v>46360</v>
      </c>
      <c r="H53" s="92">
        <v>46370</v>
      </c>
    </row>
    <row r="54" spans="1:9" ht="22.05" customHeight="1" x14ac:dyDescent="0.3">
      <c r="A54" s="87" t="s">
        <v>200</v>
      </c>
      <c r="B54" s="88" t="s">
        <v>201</v>
      </c>
      <c r="C54" s="88" t="s">
        <v>86</v>
      </c>
      <c r="D54" s="88" t="s">
        <v>13</v>
      </c>
      <c r="E54" s="88">
        <v>12</v>
      </c>
      <c r="F54" s="88" t="s">
        <v>252</v>
      </c>
      <c r="G54" s="93">
        <v>46367</v>
      </c>
      <c r="H54" s="93">
        <v>46371</v>
      </c>
      <c r="I54" s="87"/>
    </row>
    <row r="55" spans="1:9" ht="22.05" customHeight="1" x14ac:dyDescent="0.3">
      <c r="A55" s="89" t="s">
        <v>84</v>
      </c>
      <c r="B55" s="90" t="s">
        <v>253</v>
      </c>
      <c r="C55" s="90" t="s">
        <v>86</v>
      </c>
      <c r="D55" s="90" t="s">
        <v>13</v>
      </c>
      <c r="E55" s="90">
        <v>6</v>
      </c>
      <c r="F55" s="90" t="s">
        <v>200</v>
      </c>
      <c r="G55" s="94">
        <v>46370</v>
      </c>
      <c r="H55" s="94">
        <v>46371</v>
      </c>
      <c r="I55" s="91" t="s">
        <v>238</v>
      </c>
    </row>
    <row r="56" spans="1:9" ht="22.05" customHeight="1" x14ac:dyDescent="0.3">
      <c r="A56" s="87" t="s">
        <v>203</v>
      </c>
      <c r="B56" s="88" t="s">
        <v>204</v>
      </c>
      <c r="C56" s="88" t="s">
        <v>112</v>
      </c>
      <c r="D56" s="88" t="s">
        <v>13</v>
      </c>
      <c r="E56" s="88">
        <v>6</v>
      </c>
      <c r="F56" s="88" t="s">
        <v>254</v>
      </c>
      <c r="G56" s="93">
        <v>46370</v>
      </c>
      <c r="H56" s="93">
        <v>46371</v>
      </c>
      <c r="I56" s="87"/>
    </row>
    <row r="57" spans="1:9" ht="22.05" customHeight="1" x14ac:dyDescent="0.3">
      <c r="A57" t="s">
        <v>207</v>
      </c>
      <c r="B57" s="82" t="s">
        <v>208</v>
      </c>
      <c r="C57" s="82" t="s">
        <v>112</v>
      </c>
      <c r="D57" s="82" t="s">
        <v>255</v>
      </c>
      <c r="E57" s="82">
        <v>4</v>
      </c>
      <c r="F57" s="82" t="s">
        <v>84</v>
      </c>
      <c r="G57" s="92">
        <v>46372</v>
      </c>
      <c r="H57" s="92">
        <v>46373</v>
      </c>
    </row>
    <row r="58" spans="1:9" ht="22.05" customHeight="1" x14ac:dyDescent="0.3">
      <c r="A58" s="87" t="s">
        <v>209</v>
      </c>
      <c r="B58" s="88" t="s">
        <v>210</v>
      </c>
      <c r="C58" s="88" t="s">
        <v>86</v>
      </c>
      <c r="D58" s="88" t="s">
        <v>255</v>
      </c>
      <c r="E58" s="88">
        <v>5</v>
      </c>
      <c r="F58" s="88" t="s">
        <v>207</v>
      </c>
      <c r="G58" s="93">
        <v>46373</v>
      </c>
      <c r="H58" s="93">
        <v>46374</v>
      </c>
      <c r="I58" s="87"/>
    </row>
    <row r="59" spans="1:9" ht="22.05" customHeight="1" x14ac:dyDescent="0.3">
      <c r="A59" t="s">
        <v>89</v>
      </c>
      <c r="B59" s="82" t="s">
        <v>211</v>
      </c>
      <c r="C59" s="82" t="s">
        <v>55</v>
      </c>
      <c r="D59" s="82" t="s">
        <v>255</v>
      </c>
      <c r="E59" s="82">
        <v>2</v>
      </c>
      <c r="F59" s="82" t="s">
        <v>209</v>
      </c>
      <c r="G59" s="92"/>
      <c r="H59" s="92"/>
    </row>
    <row r="60" spans="1:9" ht="22.05" customHeight="1" x14ac:dyDescent="0.3">
      <c r="A60" s="87" t="s">
        <v>214</v>
      </c>
      <c r="B60" s="88" t="s">
        <v>215</v>
      </c>
      <c r="C60" s="88" t="s">
        <v>55</v>
      </c>
      <c r="D60" s="88" t="s">
        <v>256</v>
      </c>
      <c r="E60" s="88">
        <v>9</v>
      </c>
      <c r="F60" s="88" t="s">
        <v>234</v>
      </c>
      <c r="G60" s="93">
        <v>46307</v>
      </c>
      <c r="H60" s="93">
        <v>46371</v>
      </c>
      <c r="I60" s="87"/>
    </row>
    <row r="61" spans="1:9" ht="22.05" customHeight="1" x14ac:dyDescent="0.3">
      <c r="A61" t="s">
        <v>216</v>
      </c>
      <c r="B61" s="82" t="s">
        <v>217</v>
      </c>
      <c r="C61" s="82" t="s">
        <v>64</v>
      </c>
      <c r="D61" s="82" t="s">
        <v>256</v>
      </c>
      <c r="E61" s="82">
        <v>2</v>
      </c>
      <c r="F61" s="82" t="s">
        <v>117</v>
      </c>
      <c r="G61" s="92">
        <v>46314</v>
      </c>
      <c r="H61" s="92">
        <v>46315</v>
      </c>
    </row>
    <row r="62" spans="1:9" ht="22.05" customHeight="1" x14ac:dyDescent="0.3">
      <c r="A62" s="87" t="s">
        <v>218</v>
      </c>
      <c r="B62" s="88" t="s">
        <v>219</v>
      </c>
      <c r="C62" s="88" t="s">
        <v>64</v>
      </c>
      <c r="D62" s="88" t="s">
        <v>256</v>
      </c>
      <c r="E62" s="88">
        <v>16</v>
      </c>
      <c r="F62" s="88" t="s">
        <v>234</v>
      </c>
      <c r="G62" s="93">
        <v>46307</v>
      </c>
      <c r="H62" s="93">
        <v>46371</v>
      </c>
      <c r="I62" s="87"/>
    </row>
    <row r="63" spans="1:9" ht="22.05" customHeight="1" x14ac:dyDescent="0.3">
      <c r="A63" t="s">
        <v>220</v>
      </c>
      <c r="B63" s="82" t="s">
        <v>221</v>
      </c>
      <c r="C63" s="82" t="s">
        <v>55</v>
      </c>
      <c r="D63" s="82" t="s">
        <v>256</v>
      </c>
      <c r="E63" s="82">
        <v>4</v>
      </c>
      <c r="F63" s="82" t="s">
        <v>234</v>
      </c>
      <c r="G63" s="92">
        <v>46310</v>
      </c>
      <c r="H63" s="92">
        <v>46371</v>
      </c>
    </row>
    <row r="64" spans="1:9" ht="22.05" customHeight="1" x14ac:dyDescent="0.3">
      <c r="A64" s="87" t="s">
        <v>222</v>
      </c>
      <c r="B64" s="88" t="s">
        <v>223</v>
      </c>
      <c r="C64" s="88" t="s">
        <v>55</v>
      </c>
      <c r="D64" s="88" t="s">
        <v>256</v>
      </c>
      <c r="E64" s="88">
        <v>4</v>
      </c>
      <c r="F64" s="88" t="s">
        <v>220</v>
      </c>
      <c r="G64" s="93">
        <v>46310</v>
      </c>
      <c r="H64" s="93">
        <v>46371</v>
      </c>
      <c r="I64" s="87"/>
    </row>
    <row r="67" spans="1:9" ht="24" customHeight="1" x14ac:dyDescent="0.3">
      <c r="A67" s="74" t="s">
        <v>257</v>
      </c>
      <c r="B67" s="74" t="s">
        <v>258</v>
      </c>
      <c r="C67" s="74" t="s">
        <v>259</v>
      </c>
      <c r="D67" s="74" t="s">
        <v>260</v>
      </c>
      <c r="E67" s="74" t="s">
        <v>261</v>
      </c>
      <c r="F67" s="74" t="s">
        <v>262</v>
      </c>
      <c r="G67" s="74" t="s">
        <v>263</v>
      </c>
      <c r="H67" s="74"/>
    </row>
    <row r="68" spans="1:9" x14ac:dyDescent="0.3">
      <c r="A68" t="s">
        <v>9</v>
      </c>
      <c r="B68" t="s">
        <v>53</v>
      </c>
      <c r="C68" t="s">
        <v>264</v>
      </c>
      <c r="D68" s="92">
        <v>46315</v>
      </c>
      <c r="E68" t="s">
        <v>265</v>
      </c>
      <c r="F68" t="s">
        <v>238</v>
      </c>
      <c r="G68" t="s">
        <v>266</v>
      </c>
    </row>
    <row r="69" spans="1:9" x14ac:dyDescent="0.3">
      <c r="A69" t="s">
        <v>10</v>
      </c>
      <c r="B69" t="s">
        <v>58</v>
      </c>
      <c r="C69" t="s">
        <v>264</v>
      </c>
      <c r="D69" s="92">
        <v>46329</v>
      </c>
      <c r="E69" t="s">
        <v>53</v>
      </c>
      <c r="F69" t="s">
        <v>238</v>
      </c>
      <c r="G69" t="s">
        <v>266</v>
      </c>
    </row>
    <row r="70" spans="1:9" x14ac:dyDescent="0.3">
      <c r="A70" t="s">
        <v>11</v>
      </c>
      <c r="B70" t="s">
        <v>62</v>
      </c>
      <c r="C70" t="s">
        <v>264</v>
      </c>
      <c r="D70" s="92">
        <v>46343</v>
      </c>
      <c r="E70" t="s">
        <v>58</v>
      </c>
      <c r="F70" t="s">
        <v>238</v>
      </c>
      <c r="G70" t="s">
        <v>266</v>
      </c>
    </row>
    <row r="71" spans="1:9" x14ac:dyDescent="0.3">
      <c r="A71" t="s">
        <v>12</v>
      </c>
      <c r="B71" t="s">
        <v>67</v>
      </c>
      <c r="C71" t="s">
        <v>264</v>
      </c>
      <c r="D71" s="92">
        <v>46357</v>
      </c>
      <c r="E71" t="s">
        <v>62</v>
      </c>
      <c r="F71" t="s">
        <v>238</v>
      </c>
      <c r="G71" t="s">
        <v>266</v>
      </c>
    </row>
    <row r="72" spans="1:9" x14ac:dyDescent="0.3">
      <c r="A72" t="s">
        <v>13</v>
      </c>
      <c r="B72" t="s">
        <v>84</v>
      </c>
      <c r="C72" t="s">
        <v>264</v>
      </c>
      <c r="D72" s="92">
        <v>46371</v>
      </c>
      <c r="E72" t="s">
        <v>67</v>
      </c>
      <c r="F72" t="s">
        <v>238</v>
      </c>
      <c r="G72" t="s">
        <v>266</v>
      </c>
    </row>
    <row r="75" spans="1:9" x14ac:dyDescent="0.3">
      <c r="A75" s="122" t="s">
        <v>267</v>
      </c>
      <c r="B75" s="120"/>
      <c r="C75" s="120"/>
      <c r="D75" s="120"/>
      <c r="E75" s="120"/>
      <c r="F75" s="120"/>
      <c r="G75" s="120"/>
      <c r="H75" s="120"/>
      <c r="I75" s="120"/>
    </row>
  </sheetData>
  <mergeCells count="4">
    <mergeCell ref="A1:I1"/>
    <mergeCell ref="A3:I3"/>
    <mergeCell ref="A4:I4"/>
    <mergeCell ref="A75:I7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workbookViewId="0">
      <pane ySplit="3" topLeftCell="A4" activePane="bottomLeft" state="frozen"/>
      <selection pane="bottomLeft" sqref="A1:H1"/>
    </sheetView>
  </sheetViews>
  <sheetFormatPr defaultRowHeight="15.6" x14ac:dyDescent="0.3"/>
  <cols>
    <col min="1" max="1" width="28" customWidth="1"/>
    <col min="2" max="2" width="48" customWidth="1"/>
    <col min="3" max="3" width="19" customWidth="1"/>
    <col min="4" max="4" width="56" customWidth="1"/>
    <col min="5" max="5" width="95" customWidth="1"/>
  </cols>
  <sheetData>
    <row r="1" spans="1:8" ht="34.950000000000003" customHeight="1" x14ac:dyDescent="0.4">
      <c r="A1" s="119" t="s">
        <v>268</v>
      </c>
      <c r="B1" s="119"/>
      <c r="C1" s="119"/>
      <c r="D1" s="119"/>
      <c r="E1" s="119"/>
      <c r="F1" s="119"/>
      <c r="G1" s="119"/>
      <c r="H1" s="119"/>
    </row>
    <row r="3" spans="1:8" x14ac:dyDescent="0.3">
      <c r="A3" s="85" t="s">
        <v>269</v>
      </c>
      <c r="B3" s="85" t="s">
        <v>270</v>
      </c>
    </row>
    <row r="4" spans="1:8" x14ac:dyDescent="0.3">
      <c r="A4" t="s">
        <v>271</v>
      </c>
      <c r="B4" s="92">
        <v>46315</v>
      </c>
    </row>
    <row r="5" spans="1:8" x14ac:dyDescent="0.3">
      <c r="A5" t="s">
        <v>272</v>
      </c>
      <c r="B5" s="92">
        <v>46329</v>
      </c>
    </row>
    <row r="6" spans="1:8" x14ac:dyDescent="0.3">
      <c r="A6" t="s">
        <v>273</v>
      </c>
      <c r="B6" s="92">
        <v>46343</v>
      </c>
    </row>
    <row r="7" spans="1:8" x14ac:dyDescent="0.3">
      <c r="A7" t="s">
        <v>274</v>
      </c>
      <c r="B7" s="92">
        <v>46357</v>
      </c>
    </row>
    <row r="8" spans="1:8" x14ac:dyDescent="0.3">
      <c r="A8" t="s">
        <v>275</v>
      </c>
      <c r="B8" s="92">
        <v>46371</v>
      </c>
    </row>
    <row r="9" spans="1:8" x14ac:dyDescent="0.3">
      <c r="A9" t="s">
        <v>276</v>
      </c>
      <c r="B9" t="s">
        <v>277</v>
      </c>
    </row>
    <row r="10" spans="1:8" x14ac:dyDescent="0.3">
      <c r="A10" t="s">
        <v>278</v>
      </c>
      <c r="B10" t="s">
        <v>279</v>
      </c>
    </row>
    <row r="11" spans="1:8" x14ac:dyDescent="0.3">
      <c r="A11" t="s">
        <v>280</v>
      </c>
      <c r="B11" t="s">
        <v>281</v>
      </c>
    </row>
    <row r="12" spans="1:8" x14ac:dyDescent="0.3">
      <c r="A12" t="s">
        <v>282</v>
      </c>
      <c r="B12" t="s">
        <v>283</v>
      </c>
    </row>
    <row r="15" spans="1:8" ht="25.05" customHeight="1" x14ac:dyDescent="0.3">
      <c r="A15" s="85" t="s">
        <v>228</v>
      </c>
      <c r="B15" s="85" t="s">
        <v>284</v>
      </c>
      <c r="C15" s="85" t="s">
        <v>285</v>
      </c>
      <c r="D15" s="85" t="s">
        <v>286</v>
      </c>
      <c r="E15" s="85" t="s">
        <v>287</v>
      </c>
    </row>
    <row r="16" spans="1:8" x14ac:dyDescent="0.3">
      <c r="A16" t="s">
        <v>9</v>
      </c>
      <c r="B16">
        <f>SUMIF('03 Dependencies'!$D$7:$D$64,A16,'03 Dependencies'!$E$7:$E$64)</f>
        <v>37</v>
      </c>
      <c r="C16" s="97">
        <f t="shared" ref="C16:C22" si="0">IFERROR(B16/$B$23,0)</f>
        <v>0.10541310541310542</v>
      </c>
      <c r="E16" t="s">
        <v>288</v>
      </c>
    </row>
    <row r="17" spans="1:5" x14ac:dyDescent="0.3">
      <c r="A17" s="95" t="s">
        <v>10</v>
      </c>
      <c r="B17" s="95">
        <f>SUMIF('03 Dependencies'!$D$7:$D$64,A17,'03 Dependencies'!$E$7:$E$64)</f>
        <v>46</v>
      </c>
      <c r="C17" s="98">
        <f t="shared" si="0"/>
        <v>0.13105413105413105</v>
      </c>
      <c r="D17" s="95"/>
      <c r="E17" s="95" t="s">
        <v>289</v>
      </c>
    </row>
    <row r="18" spans="1:5" x14ac:dyDescent="0.3">
      <c r="A18" t="s">
        <v>11</v>
      </c>
      <c r="B18">
        <f>SUMIF('03 Dependencies'!$D$7:$D$64,A18,'03 Dependencies'!$E$7:$E$64)</f>
        <v>51</v>
      </c>
      <c r="C18" s="97">
        <f t="shared" si="0"/>
        <v>0.14529914529914531</v>
      </c>
      <c r="E18" t="s">
        <v>289</v>
      </c>
    </row>
    <row r="19" spans="1:5" x14ac:dyDescent="0.3">
      <c r="A19" s="95" t="s">
        <v>12</v>
      </c>
      <c r="B19" s="95">
        <f>SUMIF('03 Dependencies'!$D$7:$D$64,A19,'03 Dependencies'!$E$7:$E$64)</f>
        <v>40</v>
      </c>
      <c r="C19" s="98">
        <f t="shared" si="0"/>
        <v>0.11396011396011396</v>
      </c>
      <c r="D19" s="95"/>
      <c r="E19" s="95" t="s">
        <v>289</v>
      </c>
    </row>
    <row r="20" spans="1:5" x14ac:dyDescent="0.3">
      <c r="A20" t="s">
        <v>13</v>
      </c>
      <c r="B20">
        <f>SUMIF('03 Dependencies'!$D$7:$D$64,A20,'03 Dependencies'!$E$7:$E$64)</f>
        <v>131</v>
      </c>
      <c r="C20" s="97">
        <f t="shared" si="0"/>
        <v>0.37321937321937321</v>
      </c>
      <c r="D20" t="s">
        <v>290</v>
      </c>
      <c r="E20" t="s">
        <v>291</v>
      </c>
    </row>
    <row r="21" spans="1:5" x14ac:dyDescent="0.3">
      <c r="A21" s="95" t="s">
        <v>255</v>
      </c>
      <c r="B21" s="95">
        <f>SUMIF('03 Dependencies'!$D$7:$D$64,A21,'03 Dependencies'!$E$7:$E$64)</f>
        <v>11</v>
      </c>
      <c r="C21" s="98">
        <f t="shared" si="0"/>
        <v>3.1339031339031341E-2</v>
      </c>
      <c r="D21" s="95"/>
      <c r="E21" s="95" t="s">
        <v>292</v>
      </c>
    </row>
    <row r="22" spans="1:5" x14ac:dyDescent="0.3">
      <c r="A22" t="s">
        <v>256</v>
      </c>
      <c r="B22">
        <f>SUMIF('03 Dependencies'!$D$7:$D$64,A22,'03 Dependencies'!$E$7:$E$64)</f>
        <v>35</v>
      </c>
      <c r="C22" s="97">
        <f t="shared" si="0"/>
        <v>9.9715099715099717E-2</v>
      </c>
      <c r="E22" t="s">
        <v>293</v>
      </c>
    </row>
    <row r="23" spans="1:5" x14ac:dyDescent="0.3">
      <c r="A23" s="96" t="s">
        <v>294</v>
      </c>
      <c r="B23" s="96">
        <f>SUM(B16:B22)</f>
        <v>351</v>
      </c>
      <c r="C23" s="99">
        <f>SUM(C16:C22)</f>
        <v>1</v>
      </c>
      <c r="D23" s="96"/>
      <c r="E23" s="96"/>
    </row>
    <row r="26" spans="1:5" x14ac:dyDescent="0.3">
      <c r="A26" s="43" t="s">
        <v>295</v>
      </c>
    </row>
    <row r="27" spans="1:5" x14ac:dyDescent="0.3">
      <c r="A27" t="s">
        <v>296</v>
      </c>
    </row>
    <row r="28" spans="1:5" x14ac:dyDescent="0.3">
      <c r="A28" t="s">
        <v>297</v>
      </c>
    </row>
    <row r="29" spans="1:5" x14ac:dyDescent="0.3">
      <c r="A29" t="s">
        <v>298</v>
      </c>
    </row>
    <row r="30" spans="1:5" x14ac:dyDescent="0.3">
      <c r="A30" t="s">
        <v>299</v>
      </c>
    </row>
    <row r="31" spans="1:5" x14ac:dyDescent="0.3">
      <c r="A31" t="s">
        <v>300</v>
      </c>
    </row>
    <row r="32" spans="1:5" x14ac:dyDescent="0.3">
      <c r="A32" t="s">
        <v>301</v>
      </c>
    </row>
  </sheetData>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8"/>
  <sheetViews>
    <sheetView workbookViewId="0">
      <pane ySplit="6" topLeftCell="A7" activePane="bottomLeft" state="frozen"/>
      <selection pane="bottomLeft" sqref="A1:R1"/>
    </sheetView>
  </sheetViews>
  <sheetFormatPr defaultRowHeight="15.6" x14ac:dyDescent="0.3"/>
  <cols>
    <col min="1" max="1" width="13" customWidth="1"/>
    <col min="2" max="2" width="54" customWidth="1"/>
    <col min="3" max="3" width="23" customWidth="1"/>
    <col min="4" max="5" width="14" customWidth="1"/>
    <col min="6" max="6" width="20" customWidth="1"/>
    <col min="7" max="18" width="13" customWidth="1"/>
  </cols>
  <sheetData>
    <row r="1" spans="1:18" ht="40.049999999999997" customHeight="1" x14ac:dyDescent="0.4">
      <c r="A1" s="123" t="s">
        <v>302</v>
      </c>
      <c r="B1" s="123"/>
      <c r="C1" s="123"/>
      <c r="D1" s="123"/>
      <c r="E1" s="123"/>
      <c r="F1" s="123"/>
      <c r="G1" s="123"/>
      <c r="H1" s="123"/>
      <c r="I1" s="123"/>
      <c r="J1" s="123"/>
      <c r="K1" s="123"/>
      <c r="L1" s="123"/>
      <c r="M1" s="123"/>
      <c r="N1" s="123"/>
      <c r="O1" s="123"/>
      <c r="P1" s="123"/>
      <c r="Q1" s="123"/>
      <c r="R1" s="123"/>
    </row>
    <row r="2" spans="1:18" x14ac:dyDescent="0.3">
      <c r="A2" s="120" t="s">
        <v>303</v>
      </c>
      <c r="B2" s="120"/>
      <c r="C2" s="120"/>
      <c r="D2" s="120"/>
      <c r="E2" s="120"/>
      <c r="F2" s="120"/>
      <c r="G2" s="120"/>
      <c r="H2" s="120"/>
      <c r="I2" s="120"/>
      <c r="J2" s="120"/>
      <c r="K2" s="120"/>
      <c r="L2" s="120"/>
      <c r="M2" s="120"/>
      <c r="N2" s="120"/>
      <c r="O2" s="120"/>
      <c r="P2" s="120"/>
      <c r="Q2" s="120"/>
      <c r="R2" s="120"/>
    </row>
    <row r="3" spans="1:18" x14ac:dyDescent="0.3">
      <c r="A3" s="124" t="s">
        <v>304</v>
      </c>
      <c r="B3" s="120"/>
      <c r="C3" s="120"/>
      <c r="D3" s="120"/>
      <c r="E3" s="120"/>
      <c r="F3" s="120"/>
      <c r="G3" s="120"/>
      <c r="H3" s="120"/>
      <c r="I3" s="120"/>
      <c r="J3" s="120"/>
      <c r="K3" s="120"/>
      <c r="L3" s="120"/>
      <c r="M3" s="120"/>
      <c r="N3" s="120"/>
      <c r="O3" s="120"/>
      <c r="P3" s="120"/>
      <c r="Q3" s="120"/>
      <c r="R3" s="120"/>
    </row>
    <row r="5" spans="1:18" ht="25.05" customHeight="1" x14ac:dyDescent="0.3">
      <c r="A5" s="85" t="s">
        <v>305</v>
      </c>
      <c r="B5" s="85" t="s">
        <v>306</v>
      </c>
      <c r="C5" s="85" t="s">
        <v>41</v>
      </c>
      <c r="D5" s="85" t="s">
        <v>307</v>
      </c>
      <c r="E5" s="85" t="s">
        <v>308</v>
      </c>
      <c r="F5" s="85" t="s">
        <v>309</v>
      </c>
      <c r="G5" s="85" t="s">
        <v>27</v>
      </c>
      <c r="H5" s="85" t="s">
        <v>28</v>
      </c>
      <c r="I5" s="85" t="s">
        <v>29</v>
      </c>
      <c r="J5" s="85" t="s">
        <v>30</v>
      </c>
      <c r="K5" s="85" t="s">
        <v>31</v>
      </c>
      <c r="L5" s="85" t="s">
        <v>32</v>
      </c>
      <c r="M5" s="85" t="s">
        <v>33</v>
      </c>
      <c r="N5" s="85" t="s">
        <v>34</v>
      </c>
      <c r="O5" s="85" t="s">
        <v>35</v>
      </c>
      <c r="P5" s="85" t="s">
        <v>36</v>
      </c>
      <c r="Q5" s="85" t="s">
        <v>37</v>
      </c>
      <c r="R5" s="85" t="s">
        <v>38</v>
      </c>
    </row>
    <row r="6" spans="1:18" ht="25.05" customHeight="1" x14ac:dyDescent="0.3">
      <c r="G6" s="104">
        <v>46300</v>
      </c>
      <c r="H6" s="104">
        <v>46307</v>
      </c>
      <c r="I6" s="104">
        <v>46314</v>
      </c>
      <c r="J6" s="104">
        <v>46321</v>
      </c>
      <c r="K6" s="104">
        <v>46328</v>
      </c>
      <c r="L6" s="104">
        <v>46335</v>
      </c>
      <c r="M6" s="104">
        <v>46342</v>
      </c>
      <c r="N6" s="104">
        <v>46349</v>
      </c>
      <c r="O6" s="104">
        <v>46356</v>
      </c>
      <c r="P6" s="104">
        <v>46363</v>
      </c>
      <c r="Q6" s="104">
        <v>46370</v>
      </c>
      <c r="R6" s="104">
        <v>46377</v>
      </c>
    </row>
    <row r="7" spans="1:18" ht="25.95" customHeight="1" x14ac:dyDescent="0.3">
      <c r="A7" t="s">
        <v>50</v>
      </c>
      <c r="B7" s="82" t="s">
        <v>51</v>
      </c>
      <c r="C7" t="s">
        <v>52</v>
      </c>
      <c r="D7" s="75">
        <v>46309</v>
      </c>
      <c r="E7" s="75">
        <v>46315</v>
      </c>
      <c r="F7" s="109">
        <f t="shared" ref="F7:F21" si="0">E7-D7+1</f>
        <v>7</v>
      </c>
    </row>
    <row r="8" spans="1:18" ht="25.95" customHeight="1" x14ac:dyDescent="0.3">
      <c r="A8" s="107" t="s">
        <v>53</v>
      </c>
      <c r="B8" s="112" t="s">
        <v>54</v>
      </c>
      <c r="C8" s="107" t="s">
        <v>55</v>
      </c>
      <c r="D8" s="108">
        <v>46315</v>
      </c>
      <c r="E8" s="108">
        <v>46315</v>
      </c>
      <c r="F8" s="110">
        <f t="shared" si="0"/>
        <v>1</v>
      </c>
      <c r="G8" s="105"/>
      <c r="H8" s="105"/>
      <c r="I8" s="105"/>
      <c r="J8" s="105"/>
      <c r="K8" s="105"/>
      <c r="L8" s="105"/>
      <c r="M8" s="105"/>
      <c r="N8" s="105"/>
      <c r="O8" s="105"/>
      <c r="P8" s="105"/>
      <c r="Q8" s="105"/>
      <c r="R8" s="105"/>
    </row>
    <row r="9" spans="1:18" ht="25.95" customHeight="1" x14ac:dyDescent="0.3">
      <c r="A9" t="s">
        <v>56</v>
      </c>
      <c r="B9" s="82" t="s">
        <v>57</v>
      </c>
      <c r="C9" t="s">
        <v>52</v>
      </c>
      <c r="D9" s="75">
        <v>46316</v>
      </c>
      <c r="E9" s="75">
        <v>46328</v>
      </c>
      <c r="F9" s="109">
        <f t="shared" si="0"/>
        <v>13</v>
      </c>
    </row>
    <row r="10" spans="1:18" ht="25.95" customHeight="1" x14ac:dyDescent="0.3">
      <c r="A10" s="107" t="s">
        <v>58</v>
      </c>
      <c r="B10" s="112" t="s">
        <v>59</v>
      </c>
      <c r="C10" s="107" t="s">
        <v>55</v>
      </c>
      <c r="D10" s="108">
        <v>46329</v>
      </c>
      <c r="E10" s="108">
        <v>46329</v>
      </c>
      <c r="F10" s="110">
        <f t="shared" si="0"/>
        <v>1</v>
      </c>
      <c r="G10" s="105"/>
      <c r="H10" s="105"/>
      <c r="I10" s="105"/>
      <c r="J10" s="105"/>
      <c r="K10" s="105"/>
      <c r="L10" s="105"/>
      <c r="M10" s="105"/>
      <c r="N10" s="105"/>
      <c r="O10" s="105"/>
      <c r="P10" s="105"/>
      <c r="Q10" s="105"/>
      <c r="R10" s="105"/>
    </row>
    <row r="11" spans="1:18" ht="25.95" customHeight="1" x14ac:dyDescent="0.3">
      <c r="A11" t="s">
        <v>60</v>
      </c>
      <c r="B11" s="82" t="s">
        <v>61</v>
      </c>
      <c r="C11" t="s">
        <v>52</v>
      </c>
      <c r="D11" s="75">
        <v>46330</v>
      </c>
      <c r="E11" s="75">
        <v>46342</v>
      </c>
      <c r="F11" s="109">
        <f t="shared" si="0"/>
        <v>13</v>
      </c>
    </row>
    <row r="12" spans="1:18" ht="25.95" customHeight="1" x14ac:dyDescent="0.3">
      <c r="A12" s="107" t="s">
        <v>62</v>
      </c>
      <c r="B12" s="112" t="s">
        <v>63</v>
      </c>
      <c r="C12" s="107" t="s">
        <v>64</v>
      </c>
      <c r="D12" s="108">
        <v>46343</v>
      </c>
      <c r="E12" s="108">
        <v>46343</v>
      </c>
      <c r="F12" s="110">
        <f t="shared" si="0"/>
        <v>1</v>
      </c>
      <c r="G12" s="105"/>
      <c r="H12" s="105"/>
      <c r="I12" s="105"/>
      <c r="J12" s="105"/>
      <c r="K12" s="105"/>
      <c r="L12" s="105"/>
      <c r="M12" s="105"/>
      <c r="N12" s="105"/>
      <c r="O12" s="105"/>
      <c r="P12" s="105"/>
      <c r="Q12" s="105"/>
      <c r="R12" s="105"/>
    </row>
    <row r="13" spans="1:18" ht="25.95" customHeight="1" x14ac:dyDescent="0.3">
      <c r="A13" t="s">
        <v>65</v>
      </c>
      <c r="B13" s="82" t="s">
        <v>66</v>
      </c>
      <c r="C13" t="s">
        <v>52</v>
      </c>
      <c r="D13" s="75">
        <v>46344</v>
      </c>
      <c r="E13" s="75">
        <v>46356</v>
      </c>
      <c r="F13" s="109">
        <f t="shared" si="0"/>
        <v>13</v>
      </c>
    </row>
    <row r="14" spans="1:18" ht="25.95" customHeight="1" x14ac:dyDescent="0.3">
      <c r="A14" s="107" t="s">
        <v>67</v>
      </c>
      <c r="B14" s="112" t="s">
        <v>68</v>
      </c>
      <c r="C14" s="107" t="s">
        <v>55</v>
      </c>
      <c r="D14" s="108">
        <v>46357</v>
      </c>
      <c r="E14" s="108">
        <v>46357</v>
      </c>
      <c r="F14" s="110">
        <f t="shared" si="0"/>
        <v>1</v>
      </c>
      <c r="G14" s="105"/>
      <c r="H14" s="105"/>
      <c r="I14" s="105"/>
      <c r="J14" s="105"/>
      <c r="K14" s="105"/>
      <c r="L14" s="105"/>
      <c r="M14" s="105"/>
      <c r="N14" s="105"/>
      <c r="O14" s="105"/>
      <c r="P14" s="105"/>
      <c r="Q14" s="105"/>
      <c r="R14" s="105"/>
    </row>
    <row r="15" spans="1:18" ht="25.95" customHeight="1" x14ac:dyDescent="0.3">
      <c r="A15" t="s">
        <v>69</v>
      </c>
      <c r="B15" s="82" t="s">
        <v>70</v>
      </c>
      <c r="C15" t="s">
        <v>71</v>
      </c>
      <c r="D15" s="75">
        <v>46358</v>
      </c>
      <c r="E15" s="75">
        <v>46360</v>
      </c>
      <c r="F15" s="109">
        <f t="shared" si="0"/>
        <v>3</v>
      </c>
    </row>
    <row r="16" spans="1:18" ht="25.95" customHeight="1" x14ac:dyDescent="0.3">
      <c r="A16" s="105" t="s">
        <v>72</v>
      </c>
      <c r="B16" s="113" t="s">
        <v>73</v>
      </c>
      <c r="C16" s="105" t="s">
        <v>74</v>
      </c>
      <c r="D16" s="106">
        <v>46360</v>
      </c>
      <c r="E16" s="106">
        <v>46367</v>
      </c>
      <c r="F16" s="111">
        <f t="shared" si="0"/>
        <v>8</v>
      </c>
      <c r="G16" s="105"/>
      <c r="H16" s="105"/>
      <c r="I16" s="105"/>
      <c r="J16" s="105"/>
      <c r="K16" s="105"/>
      <c r="L16" s="105"/>
      <c r="M16" s="105"/>
      <c r="N16" s="105"/>
      <c r="O16" s="105"/>
      <c r="P16" s="105"/>
      <c r="Q16" s="105"/>
      <c r="R16" s="105"/>
    </row>
    <row r="17" spans="1:18" ht="25.95" customHeight="1" x14ac:dyDescent="0.3">
      <c r="A17" t="s">
        <v>75</v>
      </c>
      <c r="B17" s="82" t="s">
        <v>76</v>
      </c>
      <c r="C17" t="s">
        <v>77</v>
      </c>
      <c r="D17" s="75">
        <v>46363</v>
      </c>
      <c r="E17" s="75">
        <v>46370</v>
      </c>
      <c r="F17" s="109">
        <f t="shared" si="0"/>
        <v>8</v>
      </c>
    </row>
    <row r="18" spans="1:18" ht="25.95" customHeight="1" x14ac:dyDescent="0.3">
      <c r="A18" s="105" t="s">
        <v>78</v>
      </c>
      <c r="B18" s="113" t="s">
        <v>79</v>
      </c>
      <c r="C18" s="105" t="s">
        <v>80</v>
      </c>
      <c r="D18" s="106">
        <v>46360</v>
      </c>
      <c r="E18" s="106">
        <v>46371</v>
      </c>
      <c r="F18" s="111">
        <f t="shared" si="0"/>
        <v>12</v>
      </c>
      <c r="G18" s="105"/>
      <c r="H18" s="105"/>
      <c r="I18" s="105"/>
      <c r="J18" s="105"/>
      <c r="K18" s="105"/>
      <c r="L18" s="105"/>
      <c r="M18" s="105"/>
      <c r="N18" s="105"/>
      <c r="O18" s="105"/>
      <c r="P18" s="105"/>
      <c r="Q18" s="105"/>
      <c r="R18" s="105"/>
    </row>
    <row r="19" spans="1:18" ht="25.95" customHeight="1" x14ac:dyDescent="0.3">
      <c r="A19" t="s">
        <v>81</v>
      </c>
      <c r="B19" s="82" t="s">
        <v>82</v>
      </c>
      <c r="C19" t="s">
        <v>83</v>
      </c>
      <c r="D19" s="75">
        <v>46370</v>
      </c>
      <c r="E19" s="75">
        <v>46371</v>
      </c>
      <c r="F19" s="109">
        <f t="shared" si="0"/>
        <v>2</v>
      </c>
    </row>
    <row r="20" spans="1:18" ht="25.95" customHeight="1" x14ac:dyDescent="0.3">
      <c r="A20" s="107" t="s">
        <v>84</v>
      </c>
      <c r="B20" s="112" t="s">
        <v>85</v>
      </c>
      <c r="C20" s="107" t="s">
        <v>86</v>
      </c>
      <c r="D20" s="108">
        <v>46371</v>
      </c>
      <c r="E20" s="108">
        <v>46371</v>
      </c>
      <c r="F20" s="110">
        <f t="shared" si="0"/>
        <v>1</v>
      </c>
      <c r="G20" s="105"/>
      <c r="H20" s="105"/>
      <c r="I20" s="105"/>
      <c r="J20" s="105"/>
      <c r="K20" s="105"/>
      <c r="L20" s="105"/>
      <c r="M20" s="105"/>
      <c r="N20" s="105"/>
      <c r="O20" s="105"/>
      <c r="P20" s="105"/>
      <c r="Q20" s="105"/>
      <c r="R20" s="105"/>
    </row>
    <row r="21" spans="1:18" ht="25.95" customHeight="1" x14ac:dyDescent="0.3">
      <c r="A21" t="s">
        <v>87</v>
      </c>
      <c r="B21" s="82" t="s">
        <v>88</v>
      </c>
      <c r="C21" t="s">
        <v>52</v>
      </c>
      <c r="D21" s="75">
        <v>46372</v>
      </c>
      <c r="E21" s="75">
        <v>46374</v>
      </c>
      <c r="F21" s="109">
        <f t="shared" si="0"/>
        <v>3</v>
      </c>
    </row>
    <row r="22" spans="1:18" ht="25.95" customHeight="1" x14ac:dyDescent="0.3">
      <c r="A22" s="107" t="s">
        <v>89</v>
      </c>
      <c r="B22" s="112" t="s">
        <v>90</v>
      </c>
      <c r="C22" s="107" t="s">
        <v>52</v>
      </c>
      <c r="D22" s="108"/>
      <c r="E22" s="108"/>
      <c r="F22" s="110"/>
      <c r="G22" s="105"/>
      <c r="H22" s="105"/>
      <c r="I22" s="105"/>
      <c r="J22" s="105"/>
      <c r="K22" s="105"/>
      <c r="L22" s="105"/>
      <c r="M22" s="105"/>
      <c r="N22" s="105"/>
      <c r="O22" s="105"/>
      <c r="P22" s="105"/>
      <c r="Q22" s="105"/>
      <c r="R22" s="105"/>
    </row>
    <row r="23" spans="1:18" ht="25.95" customHeight="1" x14ac:dyDescent="0.3">
      <c r="A23" t="s">
        <v>91</v>
      </c>
      <c r="B23" s="82" t="s">
        <v>92</v>
      </c>
      <c r="C23" t="s">
        <v>52</v>
      </c>
      <c r="D23" s="75">
        <v>46307</v>
      </c>
      <c r="E23" s="75">
        <v>46371</v>
      </c>
      <c r="F23" s="109">
        <f>E23-D23+1</f>
        <v>65</v>
      </c>
    </row>
    <row r="24" spans="1:18" ht="25.95" customHeight="1" x14ac:dyDescent="0.3">
      <c r="A24" s="105" t="s">
        <v>93</v>
      </c>
      <c r="B24" s="113" t="s">
        <v>94</v>
      </c>
      <c r="C24" s="105" t="s">
        <v>55</v>
      </c>
      <c r="D24" s="106">
        <v>46310</v>
      </c>
      <c r="E24" s="106">
        <v>46371</v>
      </c>
      <c r="F24" s="111">
        <f>E24-D24+1</f>
        <v>62</v>
      </c>
      <c r="G24" s="105"/>
      <c r="H24" s="105"/>
      <c r="I24" s="105"/>
      <c r="J24" s="105"/>
      <c r="K24" s="105"/>
      <c r="L24" s="105"/>
      <c r="M24" s="105"/>
      <c r="N24" s="105"/>
      <c r="O24" s="105"/>
      <c r="P24" s="105"/>
      <c r="Q24" s="105"/>
      <c r="R24" s="105"/>
    </row>
    <row r="27" spans="1:18" x14ac:dyDescent="0.3">
      <c r="A27" s="122" t="s">
        <v>310</v>
      </c>
      <c r="B27" s="120"/>
      <c r="C27" s="120"/>
      <c r="D27" s="120"/>
      <c r="E27" s="120"/>
      <c r="F27" s="120"/>
      <c r="G27" s="120"/>
      <c r="H27" s="120"/>
      <c r="I27" s="120"/>
      <c r="J27" s="120"/>
      <c r="K27" s="120"/>
      <c r="L27" s="120"/>
      <c r="M27" s="120"/>
      <c r="N27" s="120"/>
      <c r="O27" s="120"/>
      <c r="P27" s="120"/>
      <c r="Q27" s="120"/>
      <c r="R27" s="120"/>
    </row>
    <row r="28" spans="1:18" x14ac:dyDescent="0.3">
      <c r="A28" s="120" t="s">
        <v>311</v>
      </c>
      <c r="B28" s="120"/>
      <c r="C28" s="120"/>
      <c r="D28" s="120"/>
      <c r="E28" s="120"/>
      <c r="F28" s="120"/>
      <c r="G28" s="120"/>
      <c r="H28" s="120"/>
      <c r="I28" s="120"/>
      <c r="J28" s="120"/>
      <c r="K28" s="120"/>
      <c r="L28" s="120"/>
      <c r="M28" s="120"/>
      <c r="N28" s="120"/>
      <c r="O28" s="120"/>
      <c r="P28" s="120"/>
      <c r="Q28" s="120"/>
      <c r="R28" s="120"/>
    </row>
  </sheetData>
  <mergeCells count="5">
    <mergeCell ref="A1:R1"/>
    <mergeCell ref="A2:R2"/>
    <mergeCell ref="A3:R3"/>
    <mergeCell ref="A27:R27"/>
    <mergeCell ref="A28:R28"/>
  </mergeCells>
  <conditionalFormatting sqref="G7:R24">
    <cfRule type="expression" dxfId="1" priority="1">
      <formula>AND($D7&lt;&gt;"",G$6&lt;=$E7,G$6+6&gt;=$D7,LEFT($B7,1)&lt;&gt;"◆")</formula>
    </cfRule>
    <cfRule type="expression" dxfId="0" priority="2">
      <formula>AND($D7&lt;&gt;"",G$6&lt;=$E7,G$6+6&gt;=$D7,LEFT($B7,1)="◆")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 PA Overview</vt:lpstr>
      <vt:lpstr>02 Detailed WBS</vt:lpstr>
      <vt:lpstr>-Disclaimer-</vt:lpstr>
      <vt:lpstr>03 Dependencies</vt:lpstr>
      <vt:lpstr>04 Assumptions</vt:lpstr>
      <vt:lpstr>05 Weekly Gantt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HUY HOÀNG</cp:lastModifiedBy>
  <dcterms:modified xsi:type="dcterms:W3CDTF">2026-10-19T18:10:12Z</dcterms:modified>
</cp:coreProperties>
</file>